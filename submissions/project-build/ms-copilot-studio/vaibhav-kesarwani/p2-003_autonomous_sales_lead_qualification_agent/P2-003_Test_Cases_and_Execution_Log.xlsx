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461b9afbb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c5c207b229cb459d"/>
    <x:sheet xmlns:r="http://schemas.openxmlformats.org/officeDocument/2006/relationships" name="Execution_Log" sheetId="2" r:id="R3facfbaa4f6644a3"/>
    <x:sheet xmlns:r="http://schemas.openxmlformats.org/officeDocument/2006/relationships" name="Test_Summary" sheetId="3" r:id="R5b7d092a4e2a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33872d44e4a09" /><Relationship Type="http://schemas.openxmlformats.org/officeDocument/2006/relationships/theme" Target="/xl/theme/theme1.xml" Id="Ra2aea49ec9b94392" /><Relationship Type="http://schemas.openxmlformats.org/officeDocument/2006/relationships/sharedStrings" Target="/xl/sharedStrings.xml" Id="R35393623afb94fc5" /><Relationship Type="http://schemas.openxmlformats.org/officeDocument/2006/relationships/worksheet" Target="/xl/worksheets/sheet1.xml" Id="Rc5c207b229cb459d" /><Relationship Type="http://schemas.openxmlformats.org/officeDocument/2006/relationships/worksheet" Target="/xl/worksheets/sheet2.xml" Id="R3facfbaa4f6644a3" /><Relationship Type="http://schemas.openxmlformats.org/officeDocument/2006/relationships/worksheet" Target="/xl/worksheets/sheet3.xml" Id="R5b7d092a4e2a44bf" /></Relationships>
</file>

<file path=xl/tables/table1.xml><?xml version="1.0" encoding="utf-8"?>
<x:table xmlns:x="http://schemas.openxmlformats.org/spreadsheetml/2006/main" id="1" name="TestCasesTable" displayName="TestCasesTable" ref="A1:Y21" headerRowCount="1">
  <x:tableColumns count="25">
    <x:tableColumn id="1" name="Case_ID"/>
    <x:tableColumn id="2" name="Message_ID"/>
    <x:tableColumn id="3" name="Sender_Email"/>
    <x:tableColumn id="4" name="Contact_Name"/>
    <x:tableColumn id="5" name="Company_Name"/>
    <x:tableColumn id="6" name="Job_Title"/>
    <x:tableColumn id="7" name="Country"/>
    <x:tableColumn id="8" name="Territory"/>
    <x:tableColumn id="9" name="Company_Size"/>
    <x:tableColumn id="10" name="Industry"/>
    <x:tableColumn id="11" name="Product_Interest"/>
    <x:tableColumn id="12" name="Estimated_Budget_USD"/>
    <x:tableColumn id="13" name="Purchase_Timeline_Days"/>
    <x:tableColumn id="14" name="Decision_Role"/>
    <x:tableColumn id="15" name="Lead_Source"/>
    <x:tableColumn id="16" name="Inquiry_Type"/>
    <x:tableColumn id="17" name="Business_Need"/>
    <x:tableColumn id="18" name="Missing_Field_Count"/>
    <x:tableColumn id="19" name="Decision_Confidence"/>
    <x:tableColumn id="20" name="Product_Fit"/>
    <x:tableColumn id="21" name="Territory_Status"/>
    <x:tableColumn id="22" name="Expected_Score"/>
    <x:tableColumn id="23" name="Expected_Classification"/>
    <x:tableColumn id="24" name="Expected_Owner"/>
    <x:tableColumn id="25" name="Calculation_Check"/>
  </x:tableColumns>
  <x:tableStyleInfo name="TableStyleMedium2" showRowStripes="1"/>
</x:table>
</file>

<file path=xl/tables/table2.xml><?xml version="1.0" encoding="utf-8"?>
<x:table xmlns:x="http://schemas.openxmlformats.org/spreadsheetml/2006/main" id="2" name="ExecutionLogTable" displayName="ExecutionLogTable" ref="A1:N26" headerRowCount="1">
  <x:tableColumns count="14">
    <x:tableColumn id="1" name="Case_ID"/>
    <x:tableColumn id="2" name="Execution_Date"/>
    <x:tableColumn id="3" name="Actual_Score"/>
    <x:tableColumn id="4" name="Actual_Classification"/>
    <x:tableColumn id="5" name="Actual_Owner"/>
    <x:tableColumn id="6" name="Excel_Row_Created"/>
    <x:tableColumn id="7" name="Word_Report_Created"/>
    <x:tableColumn id="8" name="Outlook_Action"/>
    <x:tableColumn id="9" name="Duplicate_Prevented"/>
    <x:tableColumn id="10" name="Pass_Fail"/>
    <x:tableColumn id="11" name="Issue_Identified"/>
    <x:tableColumn id="12" name="Correction_Made"/>
    <x:tableColumn id="13" name="Retest_Result"/>
    <x:tableColumn id="14" name="Screenshot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830eb503b145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5d47387fc546d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6" hidden="0" customWidth="1"/>
    <x:col min="18" max="18" width="16" hidden="0" customWidth="1"/>
    <x:col min="19" max="19" width="18" hidden="0" customWidth="1"/>
    <x:col min="20" max="20" width="15" hidden="0" customWidth="1"/>
    <x:col min="21" max="21" width="18" hidden="0" customWidth="1"/>
    <x:col min="22" max="22" width="16" hidden="0" customWidth="1"/>
    <x:col min="23" max="23" width="26" hidden="0" customWidth="1"/>
    <x:col min="24" max="24" width="20" hidden="0" customWidth="1"/>
    <x:col min="25" max="25" width="18" hidden="0" customWidth="1"/>
  </x:cols>
  <x:sheetData>
    <x:row r="1">
      <x:c r="A1" s="6" t="str">
        <x:v>Case_ID</x:v>
      </x:c>
      <x:c r="B1" s="6" t="str">
        <x:v>Message_ID</x:v>
      </x:c>
      <x:c r="C1" s="6" t="str">
        <x:v>Sender_Email</x:v>
      </x:c>
      <x:c r="D1" s="6" t="str">
        <x:v>Contact_Name</x:v>
      </x:c>
      <x:c r="E1" s="6" t="str">
        <x:v>Company_Name</x:v>
      </x:c>
      <x:c r="F1" s="6" t="str">
        <x:v>Job_Title</x:v>
      </x:c>
      <x:c r="G1" s="6" t="str">
        <x:v>Country</x:v>
      </x:c>
      <x:c r="H1" s="6" t="str">
        <x:v>Territory</x:v>
      </x:c>
      <x:c r="I1" s="6" t="str">
        <x:v>Company_Size</x:v>
      </x:c>
      <x:c r="J1" s="6" t="str">
        <x:v>Industry</x:v>
      </x:c>
      <x:c r="K1" s="6" t="str">
        <x:v>Product_Interest</x:v>
      </x:c>
      <x:c r="L1" s="6" t="str">
        <x:v>Estimated_Budget_USD</x:v>
      </x:c>
      <x:c r="M1" s="6" t="str">
        <x:v>Purchase_Timeline_Days</x:v>
      </x:c>
      <x:c r="N1" s="6" t="str">
        <x:v>Decision_Role</x:v>
      </x:c>
      <x:c r="O1" s="6" t="str">
        <x:v>Lead_Source</x:v>
      </x:c>
      <x:c r="P1" s="6" t="str">
        <x:v>Inquiry_Type</x:v>
      </x:c>
      <x:c r="Q1" s="6" t="str">
        <x:v>Business_Need</x:v>
      </x:c>
      <x:c r="R1" s="6" t="str">
        <x:v>Missing_Field_Count</x:v>
      </x:c>
      <x:c r="S1" s="6" t="str">
        <x:v>Decision_Confidence</x:v>
      </x:c>
      <x:c r="T1" s="6" t="str">
        <x:v>Product_Fit</x:v>
      </x:c>
      <x:c r="U1" s="6" t="str">
        <x:v>Territory_Status</x:v>
      </x:c>
      <x:c r="V1" s="6" t="str">
        <x:v>Expected_Score</x:v>
      </x:c>
      <x:c r="W1" s="6" t="str">
        <x:v>Expected_Classification</x:v>
      </x:c>
      <x:c r="X1" s="6" t="str">
        <x:v>Expected_Owner</x:v>
      </x:c>
      <x:c r="Y1" s="6" t="str">
        <x:v>Calculation_Check</x:v>
      </x:c>
    </x:row>
    <x:row r="2">
      <x:c r="A2" s="7" t="str">
        <x:v>TC-001</x:v>
      </x:c>
      <x:c r="B2" s="7" t="str">
        <x:v>MSG-TC-001</x:v>
      </x:c>
      <x:c r="C2" s="7" t="str">
        <x:v>neha.sharma@orbitalfinance.example</x:v>
      </x:c>
      <x:c r="D2" s="7" t="str">
        <x:v>Neha Sharma</x:v>
      </x:c>
      <x:c r="E2" s="7" t="str">
        <x:v>Orbital Finance</x:v>
      </x:c>
      <x:c r="F2" s="7" t="str">
        <x:v>Chief Data Officer</x:v>
      </x:c>
      <x:c r="G2" s="7" t="str">
        <x:v>India</x:v>
      </x:c>
      <x:c r="H2" s="7" t="str">
        <x:v>South Asia</x:v>
      </x:c>
      <x:c r="I2" s="7" t="str">
        <x:v>Enterprise</x:v>
      </x:c>
      <x:c r="J2" s="7" t="str">
        <x:v>Financial Services</x:v>
      </x:c>
      <x:c r="K2" s="7" t="str">
        <x:v>Custom Agentic AI Platform Implementation</x:v>
      </x:c>
      <x:c r="L2" s="10" t="n">
        <x:v>600000</x:v>
      </x:c>
      <x:c r="M2" s="7" t="n">
        <x:v>30</x:v>
      </x:c>
      <x:c r="N2" s="7" t="str">
        <x:v>Decision Maker</x:v>
      </x:c>
      <x:c r="O2" s="7" t="str">
        <x:v>Executive Referral</x:v>
      </x:c>
      <x:c r="P2" s="7" t="str">
        <x:v>Sales</x:v>
      </x:c>
      <x:c r="Q2" s="7" t="str">
        <x:v>Deploy a governed multi-agent platform across lending and customer operations.</x:v>
      </x:c>
      <x:c r="R2" s="7" t="n">
        <x:v>0</x:v>
      </x:c>
      <x:c r="S2" s="7" t="str">
        <x:v>High</x:v>
      </x:c>
      <x:c r="T2" s="7" t="str">
        <x:v>Strategic</x:v>
      </x:c>
      <x:c r="U2" s="7" t="str">
        <x:v>Supported</x:v>
      </x:c>
      <x:c r="V2" s="7" t="n">
        <x:v>100</x:v>
      </x:c>
      <x:c r="W2" s="7" t="str">
        <x:v>Hot</x:v>
      </x:c>
      <x:c r="X2" s="7" t="str">
        <x:v>Priya Nair</x:v>
      </x:c>
      <x:c r="Y2" s="7" t="str">
        <x:v>PASS</x:v>
      </x:c>
    </x:row>
    <x:row r="3">
      <x:c r="A3" s="7" t="str">
        <x:v>TC-002</x:v>
      </x:c>
      <x:c r="B3" s="7" t="str">
        <x:v>MSG-TC-002</x:v>
      </x:c>
      <x:c r="C3" s="7" t="str">
        <x:v>ben.hughes@acmelogistics.example</x:v>
      </x:c>
      <x:c r="D3" s="7" t="str">
        <x:v>Ben Hughes</x:v>
      </x:c>
      <x:c r="E3" s="7" t="str">
        <x:v>Acme Logistics</x:v>
      </x:c>
      <x:c r="F3" s="7" t="str">
        <x:v>Operations Director</x:v>
      </x:c>
      <x:c r="G3" s="7" t="str">
        <x:v>United Kingdom</x:v>
      </x:c>
      <x:c r="H3" s="7" t="str">
        <x:v>UK &amp; Ireland</x:v>
      </x:c>
      <x:c r="I3" s="7" t="str">
        <x:v>Mid-Market</x:v>
      </x:c>
      <x:c r="J3" s="7" t="str">
        <x:v>Logistics</x:v>
      </x:c>
      <x:c r="K3" s="7" t="str">
        <x:v>Autonomous Sales Operations Agent</x:v>
      </x:c>
      <x:c r="L3" s="10" t="n">
        <x:v>95000</x:v>
      </x:c>
      <x:c r="M3" s="7" t="n">
        <x:v>75</x:v>
      </x:c>
      <x:c r="N3" s="7" t="str">
        <x:v>Strong Influencer</x:v>
      </x:c>
      <x:c r="O3" s="7" t="str">
        <x:v>Website</x:v>
      </x:c>
      <x:c r="P3" s="7" t="str">
        <x:v>Sales</x:v>
      </x:c>
      <x:c r="Q3" s="7" t="str">
        <x:v>Automate inbound lead qualification and opportunity routing.</x:v>
      </x:c>
      <x:c r="R3" s="7" t="n">
        <x:v>0</x:v>
      </x:c>
      <x:c r="S3" s="7" t="str">
        <x:v>High</x:v>
      </x:c>
      <x:c r="T3" s="7" t="str">
        <x:v>Strategic</x:v>
      </x:c>
      <x:c r="U3" s="7" t="str">
        <x:v>Supported</x:v>
      </x:c>
      <x:c r="V3" s="7" t="n">
        <x:v>83</x:v>
      </x:c>
      <x:c r="W3" s="7" t="str">
        <x:v>Qualified</x:v>
      </x:c>
      <x:c r="X3" s="7" t="str">
        <x:v>Emma Clarke</x:v>
      </x:c>
      <x:c r="Y3" s="7" t="str">
        <x:v>PASS</x:v>
      </x:c>
    </x:row>
    <x:row r="4">
      <x:c r="A4" s="7" t="str">
        <x:v>TC-003</x:v>
      </x:c>
      <x:c r="B4" s="7" t="str">
        <x:v>MSG-TC-003</x:v>
      </x:c>
      <x:c r="C4" s="7" t="str">
        <x:v>research.student@university.example</x:v>
      </x:c>
      <x:c r="D4" s="7" t="str">
        <x:v>Aarav Student</x:v>
      </x:c>
      <x:c r="E4" s="7" t="str">
        <x:v>City University</x:v>
      </x:c>
      <x:c r="F4" s="7" t="str">
        <x:v>Student</x:v>
      </x:c>
      <x:c r="G4" s="7" t="str">
        <x:v>India</x:v>
      </x:c>
      <x:c r="H4" s="7" t="str">
        <x:v>South Asia</x:v>
      </x:c>
      <x:c r="I4" s="7" t="str">
        <x:v>SMB</x:v>
      </x:c>
      <x:c r="J4" s="7" t="str">
        <x:v>Education</x:v>
      </x:c>
      <x:c r="K4" s="7" t="str">
        <x:v>AI Agent Enablement Workshop</x:v>
      </x:c>
      <x:c r="L4" s="10"/>
      <x:c r="M4" s="7"/>
      <x:c r="N4" s="7" t="str">
        <x:v>Researcher/User</x:v>
      </x:c>
      <x:c r="O4" s="7" t="str">
        <x:v>Inbound Email</x:v>
      </x:c>
      <x:c r="P4" s="7" t="str">
        <x:v>Academic Research</x:v>
      </x:c>
      <x:c r="Q4" s="7" t="str">
        <x:v>Request for free research interview and source code.</x:v>
      </x:c>
      <x:c r="R4" s="7" t="n">
        <x:v>3</x:v>
      </x:c>
      <x:c r="S4" s="7" t="str">
        <x:v>High</x:v>
      </x:c>
      <x:c r="T4" s="7" t="str">
        <x:v>Standard</x:v>
      </x:c>
      <x:c r="U4" s="7" t="str">
        <x:v>Supported</x:v>
      </x:c>
      <x:c r="V4" s="7" t="n">
        <x:v>32</x:v>
      </x:c>
      <x:c r="W4" s="7" t="str">
        <x:v>Not a Sales Lead</x:v>
      </x:c>
      <x:c r="X4" s="7" t="str">
        <x:v>Priya Nair</x:v>
      </x:c>
      <x:c r="Y4" s="7" t="str">
        <x:v>PASS</x:v>
      </x:c>
    </x:row>
    <x:row r="5">
      <x:c r="A5" s="7" t="str">
        <x:v>TC-004</x:v>
      </x:c>
      <x:c r="B5" s="7" t="str">
        <x:v>MSG-EX-001</x:v>
      </x:c>
      <x:c r="C5" s="7" t="str">
        <x:v>arjun.mehta@apexbank.example</x:v>
      </x:c>
      <x:c r="D5" s="7" t="str">
        <x:v>Arjun Mehta</x:v>
      </x:c>
      <x:c r="E5" s="7" t="str">
        <x:v>Apex Bank</x:v>
      </x:c>
      <x:c r="F5" s="7" t="str">
        <x:v>Chief Digital Officer</x:v>
      </x:c>
      <x:c r="G5" s="7" t="str">
        <x:v>India</x:v>
      </x:c>
      <x:c r="H5" s="7" t="str">
        <x:v>South Asia</x:v>
      </x:c>
      <x:c r="I5" s="7" t="str">
        <x:v>Enterprise</x:v>
      </x:c>
      <x:c r="J5" s="7" t="str">
        <x:v>Financial Services</x:v>
      </x:c>
      <x:c r="K5" s="7" t="str">
        <x:v>Enterprise RAG Knowledge Assistant</x:v>
      </x:c>
      <x:c r="L5" s="10" t="n">
        <x:v>160000</x:v>
      </x:c>
      <x:c r="M5" s="7" t="n">
        <x:v>45</x:v>
      </x:c>
      <x:c r="N5" s="7" t="str">
        <x:v>Decision Maker</x:v>
      </x:c>
      <x:c r="O5" s="7" t="str">
        <x:v>Website</x:v>
      </x:c>
      <x:c r="P5" s="7" t="str">
        <x:v>Sales</x:v>
      </x:c>
      <x:c r="Q5" s="7" t="str">
        <x:v>Follow-up on the same secure knowledge assistant inquiry.</x:v>
      </x:c>
      <x:c r="R5" s="7" t="n">
        <x:v>0</x:v>
      </x:c>
      <x:c r="S5" s="7" t="str">
        <x:v>High</x:v>
      </x:c>
      <x:c r="T5" s="7" t="str">
        <x:v>Strategic</x:v>
      </x:c>
      <x:c r="U5" s="7" t="str">
        <x:v>Supported</x:v>
      </x:c>
      <x:c r="V5" s="7" t="n">
        <x:v>93</x:v>
      </x:c>
      <x:c r="W5" s="7" t="str">
        <x:v>Duplicate</x:v>
      </x:c>
      <x:c r="X5" s="7" t="str">
        <x:v>Priya Nair</x:v>
      </x:c>
      <x:c r="Y5" s="7" t="str">
        <x:v>PASS</x:v>
      </x:c>
    </x:row>
    <x:row r="6">
      <x:c r="A6" s="7" t="str">
        <x:v>TC-005</x:v>
      </x:c>
      <x:c r="B6" s="7" t="str">
        <x:v>MSG-TC-005</x:v>
      </x:c>
      <x:c r="C6" s="7" t="str">
        <x:v>fatima.alnoor@desertretail.example</x:v>
      </x:c>
      <x:c r="D6" s="7" t="str">
        <x:v>Fatima Al Noor</x:v>
      </x:c>
      <x:c r="E6" s="7" t="str">
        <x:v>Desert Retail</x:v>
      </x:c>
      <x:c r="F6" s="7" t="str">
        <x:v>Head of Technology</x:v>
      </x:c>
      <x:c r="G6" s="7" t="str">
        <x:v>United Arab Emirates</x:v>
      </x:c>
      <x:c r="H6" s="7" t="str">
        <x:v>Middle East</x:v>
      </x:c>
      <x:c r="I6" s="7" t="str">
        <x:v>Enterprise</x:v>
      </x:c>
      <x:c r="J6" s="7" t="str">
        <x:v>Retail</x:v>
      </x:c>
      <x:c r="K6" s="7" t="str">
        <x:v>Multi-Agent Service Operations System</x:v>
      </x:c>
      <x:c r="L6" s="10" t="n">
        <x:v>170000</x:v>
      </x:c>
      <x:c r="M6" s="7" t="n">
        <x:v>120</x:v>
      </x:c>
      <x:c r="N6" s="7" t="str">
        <x:v>Strong Influencer</x:v>
      </x:c>
      <x:c r="O6" s="7" t="str">
        <x:v>Industry Event</x:v>
      </x:c>
      <x:c r="P6" s="7" t="str">
        <x:v>Sales</x:v>
      </x:c>
      <x:c r="Q6" s="7" t="str">
        <x:v>Automate service desk and store operations across 80 locations.</x:v>
      </x:c>
      <x:c r="R6" s="7" t="n">
        <x:v>0</x:v>
      </x:c>
      <x:c r="S6" s="7" t="str">
        <x:v>High</x:v>
      </x:c>
      <x:c r="T6" s="7" t="str">
        <x:v>Strategic</x:v>
      </x:c>
      <x:c r="U6" s="7" t="str">
        <x:v>Supported</x:v>
      </x:c>
      <x:c r="V6" s="7" t="n">
        <x:v>82</x:v>
      </x:c>
      <x:c r="W6" s="7" t="str">
        <x:v>Qualified</x:v>
      </x:c>
      <x:c r="X6" s="7" t="str">
        <x:v>Omar Rahman</x:v>
      </x:c>
      <x:c r="Y6" s="7" t="str">
        <x:v>PASS</x:v>
      </x:c>
    </x:row>
    <x:row r="7">
      <x:c r="A7" s="7" t="str">
        <x:v>TC-006</x:v>
      </x:c>
      <x:c r="B7" s="7" t="str">
        <x:v>MSG-TC-006</x:v>
      </x:c>
      <x:c r="C7" s="7" t="str">
        <x:v>hello@smallstartup.example</x:v>
      </x:c>
      <x:c r="D7" s="7" t="str">
        <x:v>Mina Lee</x:v>
      </x:c>
      <x:c r="E7" s="7" t="str">
        <x:v>SmallStartup</x:v>
      </x:c>
      <x:c r="F7" s="7" t="str">
        <x:v>Founder</x:v>
      </x:c>
      <x:c r="G7" s="7" t="str">
        <x:v>Singapore</x:v>
      </x:c>
      <x:c r="H7" s="7" t="str">
        <x:v>Southeast Asia</x:v>
      </x:c>
      <x:c r="I7" s="7" t="str">
        <x:v>Startup/Micro</x:v>
      </x:c>
      <x:c r="J7" s="7" t="str">
        <x:v>Technology</x:v>
      </x:c>
      <x:c r="K7" s="7" t="str">
        <x:v>Custom Agentic AI Platform Implementation</x:v>
      </x:c>
      <x:c r="L7" s="10" t="n">
        <x:v>25000</x:v>
      </x:c>
      <x:c r="M7" s="7" t="n">
        <x:v>20</x:v>
      </x:c>
      <x:c r="N7" s="7" t="str">
        <x:v>Decision Maker</x:v>
      </x:c>
      <x:c r="O7" s="7" t="str">
        <x:v>Cold/Unknown</x:v>
      </x:c>
      <x:c r="P7" s="7" t="str">
        <x:v>Sales</x:v>
      </x:c>
      <x:c r="Q7" s="7" t="str">
        <x:v>Build a custom agent platform for a five-person startup.</x:v>
      </x:c>
      <x:c r="R7" s="7" t="n">
        <x:v>0</x:v>
      </x:c>
      <x:c r="S7" s="7" t="str">
        <x:v>High</x:v>
      </x:c>
      <x:c r="T7" s="7" t="str">
        <x:v>Strategic</x:v>
      </x:c>
      <x:c r="U7" s="7" t="str">
        <x:v>Supported</x:v>
      </x:c>
      <x:c r="V7" s="7" t="n">
        <x:v>72</x:v>
      </x:c>
      <x:c r="W7" s="7" t="str">
        <x:v>Low Priority</x:v>
      </x:c>
      <x:c r="X7" s="7" t="str">
        <x:v>Daniel Tan</x:v>
      </x:c>
      <x:c r="Y7" s="7" t="str">
        <x:v>PASS</x:v>
      </x:c>
    </x:row>
    <x:row r="8">
      <x:c r="A8" s="7" t="str">
        <x:v>TC-007</x:v>
      </x:c>
      <x:c r="B8" s="7" t="str">
        <x:v>MSG-TC-007</x:v>
      </x:c>
      <x:c r="C8" s="7" t="str">
        <x:v>carlos@globalmining.example</x:v>
      </x:c>
      <x:c r="D8" s="7" t="str">
        <x:v>Carlos Reyes</x:v>
      </x:c>
      <x:c r="E8" s="7" t="str">
        <x:v>Global Mining</x:v>
      </x:c>
      <x:c r="F8" s="7" t="str">
        <x:v>VP Technology</x:v>
      </x:c>
      <x:c r="G8" s="7" t="str">
        <x:v>Chile</x:v>
      </x:c>
      <x:c r="H8" s="7" t="str">
        <x:v>Unassigned</x:v>
      </x:c>
      <x:c r="I8" s="7" t="str">
        <x:v>Enterprise</x:v>
      </x:c>
      <x:c r="J8" s="7" t="str">
        <x:v>Mining</x:v>
      </x:c>
      <x:c r="K8" s="7" t="str">
        <x:v>AI Governance and Evaluation Accelerator</x:v>
      </x:c>
      <x:c r="L8" s="10" t="n">
        <x:v>150000</x:v>
      </x:c>
      <x:c r="M8" s="7" t="n">
        <x:v>90</x:v>
      </x:c>
      <x:c r="N8" s="7" t="str">
        <x:v>Decision Maker</x:v>
      </x:c>
      <x:c r="O8" s="7" t="str">
        <x:v>Partner Referral</x:v>
      </x:c>
      <x:c r="P8" s="7" t="str">
        <x:v>Sales</x:v>
      </x:c>
      <x:c r="Q8" s="7" t="str">
        <x:v>Establish governance for production GenAI deployments.</x:v>
      </x:c>
      <x:c r="R8" s="7" t="n">
        <x:v>0</x:v>
      </x:c>
      <x:c r="S8" s="7" t="str">
        <x:v>High</x:v>
      </x:c>
      <x:c r="T8" s="7" t="str">
        <x:v>Strategic</x:v>
      </x:c>
      <x:c r="U8" s="7" t="str">
        <x:v>Management Review</x:v>
      </x:c>
      <x:c r="V8" s="7" t="n">
        <x:v>90</x:v>
      </x:c>
      <x:c r="W8" s="7" t="str">
        <x:v>Human Review Required</x:v>
      </x:c>
      <x:c r="X8" s="7" t="str">
        <x:v>Sales Operations</x:v>
      </x:c>
      <x:c r="Y8" s="7" t="str">
        <x:v>PASS</x:v>
      </x:c>
    </x:row>
    <x:row r="9">
      <x:c r="A9" s="7" t="str">
        <x:v>TC-008</x:v>
      </x:c>
      <x:c r="B9" s="7" t="str">
        <x:v>MSG-TC-008</x:v>
      </x:c>
      <x:c r="C9" s="7" t="str">
        <x:v>unknown.sender@unknown.example</x:v>
      </x:c>
      <x:c r="D9" s="7" t="str"/>
      <x:c r="E9" s="7" t="str">
        <x:v>Unknown</x:v>
      </x:c>
      <x:c r="F9" s="7" t="str"/>
      <x:c r="G9" s="7" t="str">
        <x:v>India</x:v>
      </x:c>
      <x:c r="H9" s="7" t="str">
        <x:v>South Asia</x:v>
      </x:c>
      <x:c r="I9" s="7" t="str">
        <x:v>Mid-Market</x:v>
      </x:c>
      <x:c r="J9" s="7" t="str">
        <x:v>Unknown</x:v>
      </x:c>
      <x:c r="K9" s="7" t="str">
        <x:v>Enterprise RAG Knowledge Assistant</x:v>
      </x:c>
      <x:c r="L9" s="10"/>
      <x:c r="M9" s="7"/>
      <x:c r="N9" s="7" t="str">
        <x:v>Unknown</x:v>
      </x:c>
      <x:c r="O9" s="7" t="str">
        <x:v>Cold/Unknown</x:v>
      </x:c>
      <x:c r="P9" s="7" t="str">
        <x:v>Sales</x:v>
      </x:c>
      <x:c r="Q9" s="7" t="str">
        <x:v>Need AI. Call me.</x:v>
      </x:c>
      <x:c r="R9" s="7" t="n">
        <x:v>5</x:v>
      </x:c>
      <x:c r="S9" s="7" t="str">
        <x:v>Low</x:v>
      </x:c>
      <x:c r="T9" s="7" t="str">
        <x:v>Strategic</x:v>
      </x:c>
      <x:c r="U9" s="7" t="str">
        <x:v>Supported</x:v>
      </x:c>
      <x:c r="V9" s="7" t="n">
        <x:v>38</x:v>
      </x:c>
      <x:c r="W9" s="7" t="str">
        <x:v>Human Review Required</x:v>
      </x:c>
      <x:c r="X9" s="7" t="str">
        <x:v>Priya Nair</x:v>
      </x:c>
      <x:c r="Y9" s="7" t="str">
        <x:v>PASS</x:v>
      </x:c>
    </x:row>
    <x:row r="10">
      <x:c r="A10" s="7" t="str">
        <x:v>TC-009</x:v>
      </x:c>
      <x:c r="B10" s="7" t="str">
        <x:v>MSG-TC-009</x:v>
      </x:c>
      <x:c r="C10" s="7" t="str">
        <x:v>support@client.example</x:v>
      </x:c>
      <x:c r="D10" s="7" t="str">
        <x:v>Daniel Moore</x:v>
      </x:c>
      <x:c r="E10" s="7" t="str">
        <x:v>Existing Client</x:v>
      </x:c>
      <x:c r="F10" s="7" t="str">
        <x:v>IT Administrator</x:v>
      </x:c>
      <x:c r="G10" s="7" t="str">
        <x:v>United States</x:v>
      </x:c>
      <x:c r="H10" s="7" t="str">
        <x:v>North America</x:v>
      </x:c>
      <x:c r="I10" s="7" t="str">
        <x:v>Enterprise</x:v>
      </x:c>
      <x:c r="J10" s="7" t="str">
        <x:v>Technology</x:v>
      </x:c>
      <x:c r="K10" s="7" t="str">
        <x:v>Enterprise RAG Knowledge Assistant</x:v>
      </x:c>
      <x:c r="L10" s="10"/>
      <x:c r="M10" s="7"/>
      <x:c r="N10" s="7" t="str">
        <x:v>Researcher/User</x:v>
      </x:c>
      <x:c r="O10" s="7" t="str">
        <x:v>Inbound Email</x:v>
      </x:c>
      <x:c r="P10" s="7" t="str">
        <x:v>Support</x:v>
      </x:c>
      <x:c r="Q10" s="7" t="str">
        <x:v>Existing chatbot is not responding after an update.</x:v>
      </x:c>
      <x:c r="R10" s="7" t="n">
        <x:v>3</x:v>
      </x:c>
      <x:c r="S10" s="7" t="str">
        <x:v>High</x:v>
      </x:c>
      <x:c r="T10" s="7" t="str">
        <x:v>Strategic</x:v>
      </x:c>
      <x:c r="U10" s="7" t="str">
        <x:v>Supported</x:v>
      </x:c>
      <x:c r="V10" s="7" t="n">
        <x:v>46</x:v>
      </x:c>
      <x:c r="W10" s="7" t="str">
        <x:v>Not a Sales Lead</x:v>
      </x:c>
      <x:c r="X10" s="7" t="str">
        <x:v>Sophia Carter</x:v>
      </x:c>
      <x:c r="Y10" s="7" t="str">
        <x:v>PASS</x:v>
      </x:c>
    </x:row>
    <x:row r="11">
      <x:c r="A11" s="7" t="str">
        <x:v>TC-010</x:v>
      </x:c>
      <x:c r="B11" s="7" t="str">
        <x:v>MSG-TC-010</x:v>
      </x:c>
      <x:c r="C11" s="7" t="str">
        <x:v>oliver.king@publicagency.example</x:v>
      </x:c>
      <x:c r="D11" s="7" t="str">
        <x:v>Oliver King</x:v>
      </x:c>
      <x:c r="E11" s="7" t="str">
        <x:v>Public Agency</x:v>
      </x:c>
      <x:c r="F11" s="7" t="str">
        <x:v>Programme Manager</x:v>
      </x:c>
      <x:c r="G11" s="7" t="str">
        <x:v>United Kingdom</x:v>
      </x:c>
      <x:c r="H11" s="7" t="str">
        <x:v>UK &amp; Ireland</x:v>
      </x:c>
      <x:c r="I11" s="7" t="str">
        <x:v>Enterprise</x:v>
      </x:c>
      <x:c r="J11" s="7" t="str">
        <x:v>Public Sector</x:v>
      </x:c>
      <x:c r="K11" s="7" t="str">
        <x:v>AI Governance and Evaluation Accelerator</x:v>
      </x:c>
      <x:c r="L11" s="10" t="n">
        <x:v>90000</x:v>
      </x:c>
      <x:c r="M11" s="7" t="n">
        <x:v>200</x:v>
      </x:c>
      <x:c r="N11" s="7" t="str">
        <x:v>Strong Influencer</x:v>
      </x:c>
      <x:c r="O11" s="7" t="str">
        <x:v>Website</x:v>
      </x:c>
      <x:c r="P11" s="7" t="str">
        <x:v>Sales</x:v>
      </x:c>
      <x:c r="Q11" s="7" t="str">
        <x:v>Explore governance support for a programme planned next year.</x:v>
      </x:c>
      <x:c r="R11" s="7" t="n">
        <x:v>0</x:v>
      </x:c>
      <x:c r="S11" s="7" t="str">
        <x:v>High</x:v>
      </x:c>
      <x:c r="T11" s="7" t="str">
        <x:v>Strategic</x:v>
      </x:c>
      <x:c r="U11" s="7" t="str">
        <x:v>Supported</x:v>
      </x:c>
      <x:c r="V11" s="7" t="n">
        <x:v>76</x:v>
      </x:c>
      <x:c r="W11" s="7" t="str">
        <x:v>Qualified</x:v>
      </x:c>
      <x:c r="X11" s="7" t="str">
        <x:v>Emma Clarke</x:v>
      </x:c>
      <x:c r="Y11" s="7" t="str">
        <x:v>PASS</x:v>
      </x:c>
    </x:row>
    <x:row r="12">
      <x:c r="A12" s="7" t="str">
        <x:v>TC-011</x:v>
      </x:c>
      <x:c r="B12" s="7" t="str">
        <x:v>MSG-TC-011</x:v>
      </x:c>
      <x:c r="C12" s="7" t="str">
        <x:v>sara.jones@medcare.example</x:v>
      </x:c>
      <x:c r="D12" s="7" t="str">
        <x:v>Sara Jones</x:v>
      </x:c>
      <x:c r="E12" s="7" t="str">
        <x:v>MedCare</x:v>
      </x:c>
      <x:c r="F12" s="7" t="str">
        <x:v>CIO</x:v>
      </x:c>
      <x:c r="G12" s="7" t="str">
        <x:v>Canada</x:v>
      </x:c>
      <x:c r="H12" s="7" t="str">
        <x:v>North America</x:v>
      </x:c>
      <x:c r="I12" s="7" t="str">
        <x:v>Enterprise</x:v>
      </x:c>
      <x:c r="J12" s="7" t="str">
        <x:v>Healthcare</x:v>
      </x:c>
      <x:c r="K12" s="7" t="str">
        <x:v>Enterprise RAG Knowledge Assistant</x:v>
      </x:c>
      <x:c r="L12" s="10" t="n">
        <x:v>70000</x:v>
      </x:c>
      <x:c r="M12" s="7" t="n">
        <x:v>40</x:v>
      </x:c>
      <x:c r="N12" s="7" t="str">
        <x:v>Decision Maker</x:v>
      </x:c>
      <x:c r="O12" s="7" t="str">
        <x:v>Customer Referral</x:v>
      </x:c>
      <x:c r="P12" s="7" t="str">
        <x:v>Sales</x:v>
      </x:c>
      <x:c r="Q12" s="7" t="str">
        <x:v>Provide secure clinical operations knowledge search.</x:v>
      </x:c>
      <x:c r="R12" s="7" t="n">
        <x:v>0</x:v>
      </x:c>
      <x:c r="S12" s="7" t="str">
        <x:v>High</x:v>
      </x:c>
      <x:c r="T12" s="7" t="str">
        <x:v>Strategic</x:v>
      </x:c>
      <x:c r="U12" s="7" t="str">
        <x:v>Supported</x:v>
      </x:c>
      <x:c r="V12" s="7" t="n">
        <x:v>94</x:v>
      </x:c>
      <x:c r="W12" s="7" t="str">
        <x:v>Hot</x:v>
      </x:c>
      <x:c r="X12" s="7" t="str">
        <x:v>Sophia Carter</x:v>
      </x:c>
      <x:c r="Y12" s="7" t="str">
        <x:v>PASS</x:v>
      </x:c>
    </x:row>
    <x:row r="13">
      <x:c r="A13" s="7" t="str">
        <x:v>TC-012</x:v>
      </x:c>
      <x:c r="B13" s="7" t="str">
        <x:v>MSG-TC-012</x:v>
      </x:c>
      <x:c r="C13" s="7" t="str">
        <x:v>procurement@factory.example</x:v>
      </x:c>
      <x:c r="D13" s="7" t="str">
        <x:v>Kenji Mori</x:v>
      </x:c>
      <x:c r="E13" s="7" t="str">
        <x:v>Factory International</x:v>
      </x:c>
      <x:c r="F13" s="7" t="str">
        <x:v>Procurement Analyst</x:v>
      </x:c>
      <x:c r="G13" s="7" t="str">
        <x:v>Japan</x:v>
      </x:c>
      <x:c r="H13" s="7" t="str">
        <x:v>Unassigned</x:v>
      </x:c>
      <x:c r="I13" s="7" t="str">
        <x:v>Enterprise</x:v>
      </x:c>
      <x:c r="J13" s="7" t="str">
        <x:v>Manufacturing</x:v>
      </x:c>
      <x:c r="K13" s="7" t="str">
        <x:v>Multi-Agent Service Operations System</x:v>
      </x:c>
      <x:c r="L13" s="10" t="n">
        <x:v>350000</x:v>
      </x:c>
      <x:c r="M13" s="7" t="n">
        <x:v>60</x:v>
      </x:c>
      <x:c r="N13" s="7" t="str">
        <x:v>Strong Influencer</x:v>
      </x:c>
      <x:c r="O13" s="7" t="str">
        <x:v>Inbound Email</x:v>
      </x:c>
      <x:c r="P13" s="7" t="str">
        <x:v>Sales</x:v>
      </x:c>
      <x:c r="Q13" s="7" t="str">
        <x:v>Request pricing for global service operations transformation.</x:v>
      </x:c>
      <x:c r="R13" s="7" t="n">
        <x:v>1</x:v>
      </x:c>
      <x:c r="S13" s="7" t="str">
        <x:v>Medium</x:v>
      </x:c>
      <x:c r="T13" s="7" t="str">
        <x:v>Strategic</x:v>
      </x:c>
      <x:c r="U13" s="7" t="str">
        <x:v>Management Review</x:v>
      </x:c>
      <x:c r="V13" s="7" t="n">
        <x:v>79</x:v>
      </x:c>
      <x:c r="W13" s="7" t="str">
        <x:v>Human Review Required</x:v>
      </x:c>
      <x:c r="X13" s="7" t="str">
        <x:v>Sales Operations</x:v>
      </x:c>
      <x:c r="Y13" s="7" t="str">
        <x:v>PASS</x:v>
      </x:c>
    </x:row>
    <x:row r="14">
      <x:c r="A14" s="7" t="str">
        <x:v>TC-013</x:v>
      </x:c>
      <x:c r="B14" s="7" t="str">
        <x:v>MSG-TC-013</x:v>
      </x:c>
      <x:c r="C14" s="7" t="str">
        <x:v>lucy.adams@retailco.example</x:v>
      </x:c>
      <x:c r="D14" s="7" t="str">
        <x:v>Lucy Adams</x:v>
      </x:c>
      <x:c r="E14" s="7" t="str">
        <x:v>RetailCo</x:v>
      </x:c>
      <x:c r="F14" s="7" t="str">
        <x:v>Learning Director</x:v>
      </x:c>
      <x:c r="G14" s="7" t="str">
        <x:v>Australia</x:v>
      </x:c>
      <x:c r="H14" s="7" t="str">
        <x:v>ANZ</x:v>
      </x:c>
      <x:c r="I14" s="7" t="str">
        <x:v>Enterprise</x:v>
      </x:c>
      <x:c r="J14" s="7" t="str">
        <x:v>Retail</x:v>
      </x:c>
      <x:c r="K14" s="7" t="str">
        <x:v>AI Agent Enablement Workshop</x:v>
      </x:c>
      <x:c r="L14" s="10" t="n">
        <x:v>18000</x:v>
      </x:c>
      <x:c r="M14" s="7" t="n">
        <x:v>20</x:v>
      </x:c>
      <x:c r="N14" s="7" t="str">
        <x:v>Decision Maker</x:v>
      </x:c>
      <x:c r="O14" s="7" t="str">
        <x:v>Industry Event</x:v>
      </x:c>
      <x:c r="P14" s="7" t="str">
        <x:v>Sales</x:v>
      </x:c>
      <x:c r="Q14" s="7" t="str">
        <x:v>Train 30 technology leaders on agentic AI.</x:v>
      </x:c>
      <x:c r="R14" s="7" t="n">
        <x:v>0</x:v>
      </x:c>
      <x:c r="S14" s="7" t="str">
        <x:v>High</x:v>
      </x:c>
      <x:c r="T14" s="7" t="str">
        <x:v>Standard</x:v>
      </x:c>
      <x:c r="U14" s="7" t="str">
        <x:v>Supported</x:v>
      </x:c>
      <x:c r="V14" s="7" t="n">
        <x:v>91</x:v>
      </x:c>
      <x:c r="W14" s="7" t="str">
        <x:v>Hot</x:v>
      </x:c>
      <x:c r="X14" s="7" t="str">
        <x:v>Olivia Bennett</x:v>
      </x:c>
      <x:c r="Y14" s="7" t="str">
        <x:v>PASS</x:v>
      </x:c>
    </x:row>
    <x:row r="15">
      <x:c r="A15" s="7" t="str">
        <x:v>TC-014</x:v>
      </x:c>
      <x:c r="B15" s="7" t="str">
        <x:v>MSG-TC-014</x:v>
      </x:c>
      <x:c r="C15" s="7" t="str">
        <x:v>mark@boutique.example</x:v>
      </x:c>
      <x:c r="D15" s="7" t="str">
        <x:v>Mark Evans</x:v>
      </x:c>
      <x:c r="E15" s="7" t="str">
        <x:v>Boutique Advisory</x:v>
      </x:c>
      <x:c r="F15" s="7" t="str">
        <x:v>Managing Partner</x:v>
      </x:c>
      <x:c r="G15" s="7" t="str">
        <x:v>Ireland</x:v>
      </x:c>
      <x:c r="H15" s="7" t="str">
        <x:v>UK &amp; Ireland</x:v>
      </x:c>
      <x:c r="I15" s="7" t="str">
        <x:v>SMB</x:v>
      </x:c>
      <x:c r="J15" s="7" t="str">
        <x:v>Professional Services</x:v>
      </x:c>
      <x:c r="K15" s="7" t="str">
        <x:v>AI Agent Enablement Workshop</x:v>
      </x:c>
      <x:c r="L15" s="10" t="n">
        <x:v>12000</x:v>
      </x:c>
      <x:c r="M15" s="7" t="n">
        <x:v>110</x:v>
      </x:c>
      <x:c r="N15" s="7" t="str">
        <x:v>Decision Maker</x:v>
      </x:c>
      <x:c r="O15" s="7" t="str">
        <x:v>Website</x:v>
      </x:c>
      <x:c r="P15" s="7" t="str">
        <x:v>Sales</x:v>
      </x:c>
      <x:c r="Q15" s="7" t="str">
        <x:v>Train a 12-person consulting team.</x:v>
      </x:c>
      <x:c r="R15" s="7" t="n">
        <x:v>0</x:v>
      </x:c>
      <x:c r="S15" s="7" t="str">
        <x:v>High</x:v>
      </x:c>
      <x:c r="T15" s="7" t="str">
        <x:v>Standard</x:v>
      </x:c>
      <x:c r="U15" s="7" t="str">
        <x:v>Supported</x:v>
      </x:c>
      <x:c r="V15" s="7" t="n">
        <x:v>69</x:v>
      </x:c>
      <x:c r="W15" s="7" t="str">
        <x:v>Nurture</x:v>
      </x:c>
      <x:c r="X15" s="7" t="str">
        <x:v>Emma Clarke</x:v>
      </x:c>
      <x:c r="Y15" s="7" t="str">
        <x:v>PASS</x:v>
      </x:c>
    </x:row>
    <x:row r="16">
      <x:c r="A16" s="7" t="str">
        <x:v>TC-015</x:v>
      </x:c>
      <x:c r="B16" s="7" t="str">
        <x:v>MSG-TC-015</x:v>
      </x:c>
      <x:c r="C16" s="7" t="str">
        <x:v>anonymous@inquiry.example</x:v>
      </x:c>
      <x:c r="D16" s="7" t="str"/>
      <x:c r="E16" s="7" t="str">
        <x:v>Stealth Company</x:v>
      </x:c>
      <x:c r="F16" s="7" t="str"/>
      <x:c r="G16" s="7" t="str">
        <x:v>France</x:v>
      </x:c>
      <x:c r="H16" s="7" t="str">
        <x:v>Western Europe</x:v>
      </x:c>
      <x:c r="I16" s="7" t="str">
        <x:v>Mid-Market</x:v>
      </x:c>
      <x:c r="J16" s="7" t="str">
        <x:v>Technology</x:v>
      </x:c>
      <x:c r="K16" s="7" t="str">
        <x:v>Autonomous Sales Operations Agent</x:v>
      </x:c>
      <x:c r="L16" s="10" t="n">
        <x:v>100000</x:v>
      </x:c>
      <x:c r="M16" s="7" t="n">
        <x:v>45</x:v>
      </x:c>
      <x:c r="N16" s="7" t="str">
        <x:v>Unknown</x:v>
      </x:c>
      <x:c r="O16" s="7" t="str">
        <x:v>Inbound Email</x:v>
      </x:c>
      <x:c r="P16" s="7" t="str">
        <x:v>Sales</x:v>
      </x:c>
      <x:c r="Q16" s="7" t="str">
        <x:v>Need lead automation. Please send information.</x:v>
      </x:c>
      <x:c r="R16" s="7" t="n">
        <x:v>2</x:v>
      </x:c>
      <x:c r="S16" s="7" t="str">
        <x:v>Medium</x:v>
      </x:c>
      <x:c r="T16" s="7" t="str">
        <x:v>Strategic</x:v>
      </x:c>
      <x:c r="U16" s="7" t="str">
        <x:v>Supported</x:v>
      </x:c>
      <x:c r="V16" s="7" t="n">
        <x:v>73</x:v>
      </x:c>
      <x:c r="W16" s="7" t="str">
        <x:v>Qualified</x:v>
      </x:c>
      <x:c r="X16" s="7" t="str">
        <x:v>Lucas Martin</x:v>
      </x:c>
      <x:c r="Y16" s="7" t="str">
        <x:v>PASS</x:v>
      </x:c>
    </x:row>
    <x:row r="17">
      <x:c r="A17" s="7" t="str">
        <x:v>TC-016</x:v>
      </x:c>
      <x:c r="B17" s="7" t="str">
        <x:v>MSG-TC-016</x:v>
      </x:c>
      <x:c r="C17" s="7" t="str">
        <x:v>competitor@rival.example</x:v>
      </x:c>
      <x:c r="D17" s="7" t="str">
        <x:v>Rival Analyst</x:v>
      </x:c>
      <x:c r="E17" s="7" t="str">
        <x:v>Rival AI</x:v>
      </x:c>
      <x:c r="F17" s="7" t="str">
        <x:v>Competitive Intelligence Analyst</x:v>
      </x:c>
      <x:c r="G17" s="7" t="str">
        <x:v>United States</x:v>
      </x:c>
      <x:c r="H17" s="7" t="str">
        <x:v>North America</x:v>
      </x:c>
      <x:c r="I17" s="7" t="str">
        <x:v>Mid-Market</x:v>
      </x:c>
      <x:c r="J17" s="7" t="str">
        <x:v>Technology</x:v>
      </x:c>
      <x:c r="K17" s="7" t="str">
        <x:v>Custom Agentic AI Platform Implementation</x:v>
      </x:c>
      <x:c r="L17" s="10" t="n">
        <x:v>500000</x:v>
      </x:c>
      <x:c r="M17" s="7" t="n">
        <x:v>30</x:v>
      </x:c>
      <x:c r="N17" s="7" t="str">
        <x:v>Researcher/User</x:v>
      </x:c>
      <x:c r="O17" s="7" t="str">
        <x:v>Cold/Unknown</x:v>
      </x:c>
      <x:c r="P17" s="7" t="str">
        <x:v>Competitive Research</x:v>
      </x:c>
      <x:c r="Q17" s="7" t="str">
        <x:v>Request architecture, pricing model and internal delivery methodology.</x:v>
      </x:c>
      <x:c r="R17" s="7" t="n">
        <x:v>0</x:v>
      </x:c>
      <x:c r="S17" s="7" t="str">
        <x:v>High</x:v>
      </x:c>
      <x:c r="T17" s="7" t="str">
        <x:v>Strategic</x:v>
      </x:c>
      <x:c r="U17" s="7" t="str">
        <x:v>Supported</x:v>
      </x:c>
      <x:c r="V17" s="7" t="n">
        <x:v>81</x:v>
      </x:c>
      <x:c r="W17" s="7" t="str">
        <x:v>Not a Sales Lead</x:v>
      </x:c>
      <x:c r="X17" s="7" t="str">
        <x:v>Sophia Carter</x:v>
      </x:c>
      <x:c r="Y17" s="7" t="str">
        <x:v>PASS</x:v>
      </x:c>
    </x:row>
    <x:row r="18">
      <x:c r="A18" s="7" t="str">
        <x:v>TC-017</x:v>
      </x:c>
      <x:c r="B18" s="7" t="str">
        <x:v>MSG-TC-017</x:v>
      </x:c>
      <x:c r="C18" s="7" t="str">
        <x:v>mia.wong@searetail.example</x:v>
      </x:c>
      <x:c r="D18" s="7" t="str">
        <x:v>Mia Wong</x:v>
      </x:c>
      <x:c r="E18" s="7" t="str">
        <x:v>SEA Retail Group</x:v>
      </x:c>
      <x:c r="F18" s="7" t="str">
        <x:v>Digital Transformation Director</x:v>
      </x:c>
      <x:c r="G18" s="7" t="str">
        <x:v>Singapore</x:v>
      </x:c>
      <x:c r="H18" s="7" t="str">
        <x:v>Southeast Asia</x:v>
      </x:c>
      <x:c r="I18" s="7" t="str">
        <x:v>Enterprise</x:v>
      </x:c>
      <x:c r="J18" s="7" t="str">
        <x:v>Retail</x:v>
      </x:c>
      <x:c r="K18" s="7" t="str">
        <x:v>Autonomous Sales Operations Agent</x:v>
      </x:c>
      <x:c r="L18" s="10" t="n">
        <x:v>70000</x:v>
      </x:c>
      <x:c r="M18" s="7" t="n">
        <x:v>45</x:v>
      </x:c>
      <x:c r="N18" s="7" t="str">
        <x:v>Strong Influencer</x:v>
      </x:c>
      <x:c r="O18" s="7" t="str">
        <x:v>Partner Referral</x:v>
      </x:c>
      <x:c r="P18" s="7" t="str">
        <x:v>Sales</x:v>
      </x:c>
      <x:c r="Q18" s="7" t="str">
        <x:v>Automate sales inquiries across six countries.</x:v>
      </x:c>
      <x:c r="R18" s="7" t="n">
        <x:v>0</x:v>
      </x:c>
      <x:c r="S18" s="7" t="str">
        <x:v>High</x:v>
      </x:c>
      <x:c r="T18" s="7" t="str">
        <x:v>Strategic</x:v>
      </x:c>
      <x:c r="U18" s="7" t="str">
        <x:v>Supported</x:v>
      </x:c>
      <x:c r="V18" s="7" t="n">
        <x:v>83</x:v>
      </x:c>
      <x:c r="W18" s="7" t="str">
        <x:v>Qualified</x:v>
      </x:c>
      <x:c r="X18" s="7" t="str">
        <x:v>Daniel Tan</x:v>
      </x:c>
      <x:c r="Y18" s="7" t="str">
        <x:v>PASS</x:v>
      </x:c>
    </x:row>
    <x:row r="19">
      <x:c r="A19" s="7" t="str">
        <x:v>TC-018</x:v>
      </x:c>
      <x:c r="B19" s="7" t="str">
        <x:v>MSG-TC-018</x:v>
      </x:c>
      <x:c r="C19" s="7" t="str">
        <x:v>thabo.mokoena@industry.example</x:v>
      </x:c>
      <x:c r="D19" s="7" t="str">
        <x:v>Thabo Mokoena</x:v>
      </x:c>
      <x:c r="E19" s="7" t="str">
        <x:v>Industry Holdings</x:v>
      </x:c>
      <x:c r="F19" s="7" t="str">
        <x:v>Head of Operations</x:v>
      </x:c>
      <x:c r="G19" s="7" t="str">
        <x:v>South Africa</x:v>
      </x:c>
      <x:c r="H19" s="7" t="str">
        <x:v>Africa</x:v>
      </x:c>
      <x:c r="I19" s="7" t="str">
        <x:v>Mid-Market</x:v>
      </x:c>
      <x:c r="J19" s="7" t="str">
        <x:v>Manufacturing</x:v>
      </x:c>
      <x:c r="K19" s="7" t="str">
        <x:v>Multi-Agent Service Operations System</x:v>
      </x:c>
      <x:c r="L19" s="10" t="n">
        <x:v>90000</x:v>
      </x:c>
      <x:c r="M19" s="7" t="n">
        <x:v>150</x:v>
      </x:c>
      <x:c r="N19" s="7" t="str">
        <x:v>Strong Influencer</x:v>
      </x:c>
      <x:c r="O19" s="7" t="str">
        <x:v>Customer Referral</x:v>
      </x:c>
      <x:c r="P19" s="7" t="str">
        <x:v>Sales</x:v>
      </x:c>
      <x:c r="Q19" s="7" t="str">
        <x:v>Assess multi-agent operations for three plants.</x:v>
      </x:c>
      <x:c r="R19" s="7" t="n">
        <x:v>0</x:v>
      </x:c>
      <x:c r="S19" s="7" t="str">
        <x:v>High</x:v>
      </x:c>
      <x:c r="T19" s="7" t="str">
        <x:v>Strategic</x:v>
      </x:c>
      <x:c r="U19" s="7" t="str">
        <x:v>Supported</x:v>
      </x:c>
      <x:c r="V19" s="7" t="n">
        <x:v>69</x:v>
      </x:c>
      <x:c r="W19" s="7" t="str">
        <x:v>Nurture</x:v>
      </x:c>
      <x:c r="X19" s="7" t="str">
        <x:v>Amina Mensah</x:v>
      </x:c>
      <x:c r="Y19" s="7" t="str">
        <x:v>PASS</x:v>
      </x:c>
    </x:row>
    <x:row r="20">
      <x:c r="A20" s="7" t="str">
        <x:v>TC-019</x:v>
      </x:c>
      <x:c r="B20" s="7" t="str">
        <x:v>MSG-TC-019</x:v>
      </x:c>
      <x:c r="C20" s="7" t="str">
        <x:v>nora@eurobank.example</x:v>
      </x:c>
      <x:c r="D20" s="7" t="str">
        <x:v>Nora Schmidt</x:v>
      </x:c>
      <x:c r="E20" s="7" t="str">
        <x:v>EuroBank</x:v>
      </x:c>
      <x:c r="F20" s="7" t="str">
        <x:v>Chief Risk Officer</x:v>
      </x:c>
      <x:c r="G20" s="7" t="str">
        <x:v>Germany</x:v>
      </x:c>
      <x:c r="H20" s="7" t="str">
        <x:v>Western Europe</x:v>
      </x:c>
      <x:c r="I20" s="7" t="str">
        <x:v>Enterprise</x:v>
      </x:c>
      <x:c r="J20" s="7" t="str">
        <x:v>Financial Services</x:v>
      </x:c>
      <x:c r="K20" s="7" t="str">
        <x:v>AI Governance and Evaluation Accelerator</x:v>
      </x:c>
      <x:c r="L20" s="10" t="n">
        <x:v>180000</x:v>
      </x:c>
      <x:c r="M20" s="7" t="n">
        <x:v>25</x:v>
      </x:c>
      <x:c r="N20" s="7" t="str">
        <x:v>Decision Maker</x:v>
      </x:c>
      <x:c r="O20" s="7" t="str">
        <x:v>Executive Referral</x:v>
      </x:c>
      <x:c r="P20" s="7" t="str">
        <x:v>Sales</x:v>
      </x:c>
      <x:c r="Q20" s="7" t="str">
        <x:v>Urgent governance framework before a regulated AI launch.</x:v>
      </x:c>
      <x:c r="R20" s="7" t="n">
        <x:v>0</x:v>
      </x:c>
      <x:c r="S20" s="7" t="str">
        <x:v>High</x:v>
      </x:c>
      <x:c r="T20" s="7" t="str">
        <x:v>Strategic</x:v>
      </x:c>
      <x:c r="U20" s="7" t="str">
        <x:v>Supported</x:v>
      </x:c>
      <x:c r="V20" s="7" t="n">
        <x:v>100</x:v>
      </x:c>
      <x:c r="W20" s="7" t="str">
        <x:v>Hot</x:v>
      </x:c>
      <x:c r="X20" s="7" t="str">
        <x:v>Lucas Martin</x:v>
      </x:c>
      <x:c r="Y20" s="7" t="str">
        <x:v>PASS</x:v>
      </x:c>
    </x:row>
    <x:row r="21">
      <x:c r="A21" s="7" t="str">
        <x:v>TC-020</x:v>
      </x:c>
      <x:c r="B21" s="7" t="str">
        <x:v>MSG-TC-020</x:v>
      </x:c>
      <x:c r="C21" s="7" t="str">
        <x:v>general@enquiry.example</x:v>
      </x:c>
      <x:c r="D21" s="7" t="str">
        <x:v>Peter Hill</x:v>
      </x:c>
      <x:c r="E21" s="7" t="str">
        <x:v>Hill Trading</x:v>
      </x:c>
      <x:c r="F21" s="7" t="str">
        <x:v>Office Manager</x:v>
      </x:c>
      <x:c r="G21" s="7" t="str">
        <x:v>United Kingdom</x:v>
      </x:c>
      <x:c r="H21" s="7" t="str">
        <x:v>UK &amp; Ireland</x:v>
      </x:c>
      <x:c r="I21" s="7" t="str">
        <x:v>SMB</x:v>
      </x:c>
      <x:c r="J21" s="7" t="str">
        <x:v>Retail</x:v>
      </x:c>
      <x:c r="K21" s="7" t="str">
        <x:v>Unknown Product</x:v>
      </x:c>
      <x:c r="L21" s="10" t="n">
        <x:v>50000</x:v>
      </x:c>
      <x:c r="M21" s="7" t="n">
        <x:v>60</x:v>
      </x:c>
      <x:c r="N21" s="7" t="str">
        <x:v>Strong Influencer</x:v>
      </x:c>
      <x:c r="O21" s="7" t="str">
        <x:v>Website</x:v>
      </x:c>
      <x:c r="P21" s="7" t="str">
        <x:v>Sales</x:v>
      </x:c>
      <x:c r="Q21" s="7" t="str">
        <x:v>Need an AI solution but no clear requirement.</x:v>
      </x:c>
      <x:c r="R21" s="7" t="n">
        <x:v>1</x:v>
      </x:c>
      <x:c r="S21" s="7" t="str">
        <x:v>Medium</x:v>
      </x:c>
      <x:c r="T21" s="7" t="str">
        <x:v>Unsupported</x:v>
      </x:c>
      <x:c r="U21" s="7" t="str">
        <x:v>Supported</x:v>
      </x:c>
      <x:c r="V21" s="7" t="n">
        <x:v>18</x:v>
      </x:c>
      <x:c r="W21" s="7" t="str">
        <x:v>Human Review Required</x:v>
      </x:c>
      <x:c r="X21" s="7" t="str">
        <x:v>Emma Clarke</x:v>
      </x:c>
      <x:c r="Y21" s="7" t="str">
        <x:v>PASS</x:v>
      </x:c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10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10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10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10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10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10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10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10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10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</x:row>
    <x:row r="31">
      <x:c r="L31" s="11"/>
    </x:row>
    <x:row r="32">
      <x:c r="L32" s="11"/>
    </x:row>
    <x:row r="33">
      <x:c r="L33" s="11"/>
    </x:row>
    <x:row r="34">
      <x:c r="L34" s="11"/>
    </x:row>
    <x:row r="35">
      <x:c r="L35" s="11"/>
    </x:row>
    <x:row r="36">
      <x:c r="L36" s="11"/>
    </x:row>
    <x:row r="37">
      <x:c r="L37" s="11"/>
    </x:row>
    <x:row r="38">
      <x:c r="L38" s="11"/>
    </x:row>
    <x:row r="39">
      <x:c r="L39" s="11"/>
    </x:row>
    <x:row r="40">
      <x:c r="L40" s="11"/>
    </x:row>
    <x:row r="41">
      <x:c r="L41" s="11"/>
    </x:row>
    <x:row r="42">
      <x:c r="L42" s="11"/>
    </x:row>
    <x:row r="43">
      <x:c r="L43" s="11"/>
    </x:row>
    <x:row r="44">
      <x:c r="L44" s="11"/>
    </x:row>
    <x:row r="45">
      <x:c r="L45" s="11"/>
    </x:row>
    <x:row r="46">
      <x:c r="L46" s="11"/>
    </x:row>
    <x:row r="47">
      <x:c r="L47" s="11"/>
    </x:row>
    <x:row r="48">
      <x:c r="L48" s="11"/>
    </x:row>
    <x:row r="49">
      <x:c r="L49" s="11"/>
    </x:row>
    <x:row r="50">
      <x:c r="L50" s="11"/>
    </x:row>
    <x:row r="51">
      <x:c r="L51" s="11"/>
    </x:row>
    <x:row r="52">
      <x:c r="L52" s="11"/>
    </x:row>
    <x:row r="53">
      <x:c r="L53" s="11"/>
    </x:row>
    <x:row r="54">
      <x:c r="L54" s="11"/>
    </x:row>
    <x:row r="55">
      <x:c r="L55" s="11"/>
    </x:row>
    <x:row r="56">
      <x:c r="L56" s="11"/>
    </x:row>
    <x:row r="57">
      <x:c r="L57" s="11"/>
    </x:row>
    <x:row r="58">
      <x:c r="L58" s="11"/>
    </x:row>
    <x:row r="59">
      <x:c r="L59" s="11"/>
    </x:row>
    <x:row r="60">
      <x:c r="L60" s="11"/>
    </x:row>
    <x:row r="61">
      <x:c r="L61" s="11"/>
    </x:row>
    <x:row r="62">
      <x:c r="L62" s="11"/>
    </x:row>
    <x:row r="63">
      <x:c r="L63" s="11"/>
    </x:row>
    <x:row r="64">
      <x:c r="L64" s="11"/>
    </x:row>
    <x:row r="65">
      <x:c r="L65" s="11"/>
    </x:row>
    <x:row r="66">
      <x:c r="L66" s="11"/>
    </x:row>
    <x:row r="67">
      <x:c r="L67" s="11"/>
    </x:row>
    <x:row r="68">
      <x:c r="L68" s="11"/>
    </x:row>
    <x:row r="69">
      <x:c r="L69" s="11"/>
    </x:row>
    <x:row r="70">
      <x:c r="L70" s="11"/>
    </x:row>
    <x:row r="71">
      <x:c r="L71" s="11"/>
    </x:row>
    <x:row r="72">
      <x:c r="L72" s="11"/>
    </x:row>
    <x:row r="73">
      <x:c r="L73" s="11"/>
    </x:row>
    <x:row r="74">
      <x:c r="L74" s="11"/>
    </x:row>
    <x:row r="75">
      <x:c r="L75" s="11"/>
    </x:row>
    <x:row r="76">
      <x:c r="L76" s="11"/>
    </x:row>
    <x:row r="77">
      <x:c r="L77" s="11"/>
    </x:row>
    <x:row r="78">
      <x:c r="L78" s="11"/>
    </x:row>
    <x:row r="79">
      <x:c r="L79" s="11"/>
    </x:row>
    <x:row r="80">
      <x:c r="L80" s="11"/>
    </x:row>
    <x:row r="81">
      <x:c r="L81" s="11"/>
    </x:row>
    <x:row r="82">
      <x:c r="L82" s="11"/>
    </x:row>
    <x:row r="83">
      <x:c r="L83" s="11"/>
    </x:row>
    <x:row r="84">
      <x:c r="L84" s="11"/>
    </x:row>
    <x:row r="85">
      <x:c r="L85" s="11"/>
    </x:row>
    <x:row r="86">
      <x:c r="L86" s="11"/>
    </x:row>
    <x:row r="87">
      <x:c r="L87" s="11"/>
    </x:row>
    <x:row r="88">
      <x:c r="L88" s="11"/>
    </x:row>
    <x:row r="89">
      <x:c r="L89" s="11"/>
    </x:row>
    <x:row r="90">
      <x:c r="L90" s="11"/>
    </x:row>
    <x:row r="91">
      <x:c r="L91" s="11"/>
    </x:row>
    <x:row r="92">
      <x:c r="L92" s="11"/>
    </x:row>
    <x:row r="93">
      <x:c r="L93" s="11"/>
    </x:row>
    <x:row r="94">
      <x:c r="L94" s="11"/>
    </x:row>
    <x:row r="95">
      <x:c r="L95" s="11"/>
    </x:row>
    <x:row r="96">
      <x:c r="L96" s="11"/>
    </x:row>
    <x:row r="97">
      <x:c r="L97" s="11"/>
    </x:row>
    <x:row r="98">
      <x:c r="L98" s="11"/>
    </x:row>
    <x:row r="99">
      <x:c r="L99" s="11"/>
    </x:row>
    <x:row r="100">
      <x:c r="L100" s="11"/>
    </x:row>
  </x:sheetData>
  <x:conditionalFormatting sqref="Y2:Y100">
    <x:cfRule type="expression" dxfId="0" priority="1">
      <x:formula>Y2="PASS"</x:formula>
    </x:cfRule>
    <x:cfRule type="expression" dxfId="1" priority="2">
      <x:formula>LEFT(Y2,5)="CHECK"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830eb503b145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5" hidden="0" customWidth="1"/>
    <x:col min="3" max="3" width="13" hidden="0" customWidth="1"/>
    <x:col min="4" max="4" width="18.75" hidden="0" customWidth="1"/>
    <x:col min="5" max="5" width="14" hidden="0" customWidth="1"/>
    <x:col min="6" max="6" width="18" hidden="0" customWidth="1"/>
    <x:col min="7" max="7" width="20.1299991607666" hidden="0" customWidth="1"/>
    <x:col min="8" max="8" width="15" hidden="0" customWidth="1"/>
    <x:col min="9" max="9" width="19" hidden="0" customWidth="1"/>
    <x:col min="10" max="10" width="9.88000011444091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>
      <x:c r="A1" s="6" t="str">
        <x:v>Case_ID</x:v>
      </x:c>
      <x:c r="B1" s="6" t="str">
        <x:v>Execution_Date</x:v>
      </x:c>
      <x:c r="C1" s="6" t="str">
        <x:v>Actual_Score</x:v>
      </x:c>
      <x:c r="D1" s="6" t="str">
        <x:v>Actual_Classification</x:v>
      </x:c>
      <x:c r="E1" s="6" t="str">
        <x:v>Actual_Owner</x:v>
      </x:c>
      <x:c r="F1" s="6" t="str">
        <x:v>Excel_Row_Created</x:v>
      </x:c>
      <x:c r="G1" s="6" t="str">
        <x:v>Word_Report_Created</x:v>
      </x:c>
      <x:c r="H1" s="6" t="str">
        <x:v>Outlook_Action</x:v>
      </x:c>
      <x:c r="I1" s="6" t="str">
        <x:v>Duplicate_Prevented</x:v>
      </x:c>
      <x:c r="J1" s="6" t="str">
        <x:v>Pass_Fail</x:v>
      </x:c>
      <x:c r="K1" s="6" t="str">
        <x:v>Issue_Identified</x:v>
      </x:c>
      <x:c r="L1" s="6" t="str">
        <x:v>Correction_Made</x:v>
      </x:c>
      <x:c r="M1" s="6" t="str">
        <x:v>Retest_Result</x:v>
      </x:c>
      <x:c r="N1" s="6" t="str">
        <x:v>Screenshot_Path</x:v>
      </x:c>
    </x:row>
    <x:row r="2">
      <x:c r="A2" s="7" t="str"/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</x:row>
    <x:row r="3">
      <x:c r="A3" s="7" t="str"/>
      <x:c r="B3" s="7" t="str"/>
      <x:c r="C3" s="7" t="str"/>
      <x:c r="D3" s="7" t="str"/>
      <x:c r="E3" s="7" t="str"/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7" t="str"/>
    </x:row>
    <x:row r="4">
      <x:c r="A4" s="7" t="str"/>
      <x:c r="B4" s="7" t="str"/>
      <x:c r="C4" s="7" t="str"/>
      <x:c r="D4" s="7" t="str"/>
      <x:c r="E4" s="7" t="str"/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7" t="str"/>
    </x:row>
    <x:row r="5">
      <x:c r="A5" s="7" t="str"/>
      <x:c r="B5" s="7" t="str"/>
      <x:c r="C5" s="7" t="str"/>
      <x:c r="D5" s="7" t="str"/>
      <x:c r="E5" s="7" t="str"/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7" t="str"/>
    </x:row>
    <x:row r="6">
      <x:c r="A6" s="7" t="str"/>
      <x:c r="B6" s="7" t="str"/>
      <x:c r="C6" s="7" t="str"/>
      <x:c r="D6" s="7" t="str"/>
      <x:c r="E6" s="7" t="str"/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7" t="str"/>
    </x:row>
    <x:row r="7">
      <x:c r="A7" s="7" t="str"/>
      <x:c r="B7" s="7" t="str"/>
      <x:c r="C7" s="7" t="str"/>
      <x:c r="D7" s="7" t="str"/>
      <x:c r="E7" s="7" t="str"/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7" t="str"/>
    </x:row>
    <x:row r="8">
      <x:c r="A8" s="7" t="str"/>
      <x:c r="B8" s="7" t="str"/>
      <x:c r="C8" s="7" t="str"/>
      <x:c r="D8" s="7" t="str"/>
      <x:c r="E8" s="7" t="str"/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7" t="str"/>
    </x:row>
    <x:row r="9">
      <x:c r="A9" s="7" t="str"/>
      <x:c r="B9" s="7" t="str"/>
      <x:c r="C9" s="7" t="str"/>
      <x:c r="D9" s="7" t="str"/>
      <x:c r="E9" s="7" t="str"/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7" t="str"/>
    </x:row>
    <x:row r="10">
      <x:c r="A10" s="7" t="str"/>
      <x:c r="B10" s="7" t="str"/>
      <x:c r="C10" s="7" t="str"/>
      <x:c r="D10" s="7" t="str"/>
      <x:c r="E10" s="7" t="str"/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</x:row>
    <x:row r="11">
      <x:c r="A11" s="7" t="str"/>
      <x:c r="B11" s="7" t="str"/>
      <x:c r="C11" s="7" t="str"/>
      <x:c r="D11" s="7" t="str"/>
      <x:c r="E11" s="7" t="str"/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</x:row>
    <x:row r="12">
      <x:c r="A12" s="7" t="str"/>
      <x:c r="B12" s="7" t="str"/>
      <x:c r="C12" s="7" t="str"/>
      <x:c r="D12" s="7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</x:row>
    <x:row r="13">
      <x:c r="A13" s="7" t="str"/>
      <x:c r="B13" s="7" t="str"/>
      <x:c r="C13" s="7" t="str"/>
      <x:c r="D13" s="7" t="str"/>
      <x:c r="E13" s="7" t="str"/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</x:row>
    <x:row r="14">
      <x:c r="A14" s="7" t="str"/>
      <x:c r="B14" s="7" t="str"/>
      <x:c r="C14" s="7" t="str"/>
      <x:c r="D14" s="7" t="str"/>
      <x:c r="E14" s="7" t="str"/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</x:row>
    <x:row r="15">
      <x:c r="A15" s="7" t="str"/>
      <x:c r="B15" s="7" t="str"/>
      <x:c r="C15" s="7" t="str"/>
      <x:c r="D15" s="7" t="str"/>
      <x:c r="E15" s="7" t="str"/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7" t="str"/>
    </x:row>
    <x:row r="16">
      <x:c r="A16" s="7" t="str"/>
      <x:c r="B16" s="7" t="str"/>
      <x:c r="C16" s="7" t="str"/>
      <x:c r="D16" s="7" t="str"/>
      <x:c r="E16" s="7" t="str"/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</x:row>
    <x:row r="17">
      <x:c r="A17" s="7" t="str"/>
      <x:c r="B17" s="7" t="str"/>
      <x:c r="C17" s="7" t="str"/>
      <x:c r="D17" s="7" t="str"/>
      <x:c r="E17" s="7" t="str"/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</x:row>
    <x:row r="18">
      <x:c r="A18" s="7" t="str"/>
      <x:c r="B18" s="7" t="str"/>
      <x:c r="C18" s="7" t="str"/>
      <x:c r="D18" s="7" t="str"/>
      <x:c r="E18" s="7" t="str"/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</x:row>
    <x:row r="19">
      <x:c r="A19" s="7" t="str"/>
      <x:c r="B19" s="7" t="str"/>
      <x:c r="C19" s="7" t="str"/>
      <x:c r="D19" s="7" t="str"/>
      <x:c r="E19" s="7" t="str"/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</x:row>
    <x:row r="20">
      <x:c r="A20" s="7" t="str"/>
      <x:c r="B20" s="7" t="str"/>
      <x:c r="C20" s="7" t="str"/>
      <x:c r="D20" s="7" t="str"/>
      <x:c r="E20" s="7" t="str"/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</x:row>
    <x:row r="21">
      <x:c r="A21" s="7" t="str"/>
      <x:c r="B21" s="7" t="str"/>
      <x:c r="C21" s="7" t="str"/>
      <x:c r="D21" s="7" t="str"/>
      <x:c r="E21" s="7" t="str"/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</x:row>
    <x:row r="22">
      <x:c r="A22" s="7" t="str"/>
      <x:c r="B22" s="7" t="str"/>
      <x:c r="C22" s="7" t="str"/>
      <x:c r="D22" s="7" t="str"/>
      <x:c r="E22" s="7" t="str"/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</x:row>
    <x:row r="23">
      <x:c r="A23" s="7" t="str"/>
      <x:c r="B23" s="7" t="str"/>
      <x:c r="C23" s="7" t="str"/>
      <x:c r="D23" s="7" t="str"/>
      <x:c r="E23" s="7" t="str"/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</x:row>
    <x:row r="24">
      <x:c r="A24" s="7" t="str"/>
      <x:c r="B24" s="7" t="str"/>
      <x:c r="C24" s="7" t="str"/>
      <x:c r="D24" s="7" t="str"/>
      <x:c r="E24" s="7" t="str"/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</x:row>
    <x:row r="25">
      <x:c r="A25" s="7" t="str"/>
      <x:c r="B25" s="7" t="str"/>
      <x:c r="C25" s="7" t="str"/>
      <x:c r="D25" s="7" t="str"/>
      <x:c r="E25" s="7" t="str"/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</x:row>
    <x:row r="26">
      <x:c r="A26" s="7" t="str"/>
      <x:c r="B26" s="7" t="str"/>
      <x:c r="C26" s="7" t="str"/>
      <x:c r="D26" s="7" t="str"/>
      <x:c r="E26" s="7" t="str"/>
      <x:c r="F26" s="7" t="str"/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</x:sheetData>
  <x:dataValidations count="2">
    <x:dataValidation type="list" sqref="J2:J26">
      <x:formula1>"Pass,Fail,Not Run"</x:formula1>
    </x:dataValidation>
    <x:dataValidation type="list" sqref="F2:I26">
      <x:formula1>"Yes,No,Not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5d47387fc546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14" t="str">
        <x:v>P2-003 Test Execution Summary</x:v>
      </x:c>
    </x:row>
    <x:row r="3">
      <x:c r="A3" s="4" t="str">
        <x:v>Metric</x:v>
      </x:c>
      <x:c r="B3" s="4" t="str">
        <x:v>Value</x:v>
      </x:c>
    </x:row>
    <x:row r="4">
      <x:c r="A4" t="str">
        <x:v>Total Cases</x:v>
      </x:c>
      <x:c r="B4" t="n">
        <x:v>25</x:v>
      </x:c>
    </x:row>
    <x:row r="5">
      <x:c r="A5" t="str">
        <x:v>Executed</x:v>
      </x:c>
      <x:c r="B5" t="n">
        <x:f>COUNTIF(Execution_Log!J2:J26,"Pass")+COUNTIF(Execution_Log!J2:J26,"Fail")</x:f>
        <x:v>0</x:v>
      </x:c>
    </x:row>
    <x:row r="6">
      <x:c r="A6" t="str">
        <x:v>Passed</x:v>
      </x:c>
      <x:c r="B6" t="n">
        <x:f>COUNTIF(Execution_Log!J2:J26,"Pass")</x:f>
        <x:v>0</x:v>
      </x:c>
    </x:row>
    <x:row r="7">
      <x:c r="A7" t="str">
        <x:v>Failed</x:v>
      </x:c>
      <x:c r="B7" t="n">
        <x:f>COUNTIF(Execution_Log!J2:J26,"Fail")</x:f>
        <x:v>0</x:v>
      </x:c>
    </x:row>
    <x:row r="8">
      <x:c r="A8" t="str">
        <x:v>Pass Rate</x:v>
      </x:c>
      <x:c r="B8" s="16" t="n">
        <x:f>IF(B5=0,0,B6/B5)</x:f>
        <x:v>0</x:v>
      </x:c>
    </x:row>
  </x:sheetData>
  <x:mergeCells>
    <x:mergeCell ref="A1:D1"/>
  </x:mergeCells>
  <x:pageMargins left="0.7" right="0.7" top="0.75" bottom="0.75" header="0.3" footer="0.3"/>
</x:worksheet>
</file>
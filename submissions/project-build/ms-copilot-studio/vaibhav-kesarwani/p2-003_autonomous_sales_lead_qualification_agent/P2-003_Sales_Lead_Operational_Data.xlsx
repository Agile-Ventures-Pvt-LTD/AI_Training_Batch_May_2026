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0" documentId="8_{2DABD3AA-2CB7-4DE2-9732-9549C8DDA6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ads_Register" sheetId="1" r:id="rId1"/>
    <sheet name="Qualification_Rules" sheetId="2" r:id="rId2"/>
    <sheet name="Territory_Owners" sheetId="3" r:id="rId3"/>
    <sheet name="Product_Catalog" sheetId="4" r:id="rId4"/>
    <sheet name="Sales_Owners" sheetId="5" r:id="rId5"/>
    <sheet name="Action_Matrix" sheetId="6" r:id="rId6"/>
    <sheet name="Dashboard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9" i="7"/>
  <c r="B8" i="7"/>
  <c r="B7" i="7"/>
  <c r="B6" i="7"/>
  <c r="B5" i="7"/>
  <c r="B4" i="7"/>
</calcChain>
</file>

<file path=xl/sharedStrings.xml><?xml version="1.0" encoding="utf-8"?>
<sst xmlns="http://schemas.openxmlformats.org/spreadsheetml/2006/main" count="660" uniqueCount="348">
  <si>
    <t>Lead_ID</t>
  </si>
  <si>
    <t>Received_Date</t>
  </si>
  <si>
    <t>Source_Message_ID</t>
  </si>
  <si>
    <t>Sender_Email</t>
  </si>
  <si>
    <t>Contact_Name</t>
  </si>
  <si>
    <t>Company_Name</t>
  </si>
  <si>
    <t>Job_Title</t>
  </si>
  <si>
    <t>Country</t>
  </si>
  <si>
    <t>Territory</t>
  </si>
  <si>
    <t>Company_Size</t>
  </si>
  <si>
    <t>Industry</t>
  </si>
  <si>
    <t>Product_Interest</t>
  </si>
  <si>
    <t>Estimated_Budget_USD</t>
  </si>
  <si>
    <t>Purchase_Timeline_Days</t>
  </si>
  <si>
    <t>Decision_Role</t>
  </si>
  <si>
    <t>Lead_Source</t>
  </si>
  <si>
    <t>Inquiry_Type</t>
  </si>
  <si>
    <t>Business_Need</t>
  </si>
  <si>
    <t>Missing_Field_Count</t>
  </si>
  <si>
    <t>Decision_Confidence</t>
  </si>
  <si>
    <t>Product_Fit</t>
  </si>
  <si>
    <t>Territory_Status</t>
  </si>
  <si>
    <t>Qualification_Score</t>
  </si>
  <si>
    <t>Classification</t>
  </si>
  <si>
    <t>Priority</t>
  </si>
  <si>
    <t>Assigned_Owner</t>
  </si>
  <si>
    <t>Processing_Status</t>
  </si>
  <si>
    <t>Missing_Information</t>
  </si>
  <si>
    <t>Risk_Flags</t>
  </si>
  <si>
    <t>Word_Report_Path</t>
  </si>
  <si>
    <t>Last_Action</t>
  </si>
  <si>
    <t>Last_Updated</t>
  </si>
  <si>
    <t>LD-2026-0001</t>
  </si>
  <si>
    <t>MSG-EX-001</t>
  </si>
  <si>
    <t>arjun.mehta@apexbank.example</t>
  </si>
  <si>
    <t>Arjun Mehta</t>
  </si>
  <si>
    <t>Apex Bank</t>
  </si>
  <si>
    <t>Chief Digital Officer</t>
  </si>
  <si>
    <t>India</t>
  </si>
  <si>
    <t>South Asia</t>
  </si>
  <si>
    <t>Enterprise</t>
  </si>
  <si>
    <t>Financial Services</t>
  </si>
  <si>
    <t>Enterprise RAG Knowledge Assistant</t>
  </si>
  <si>
    <t>Decision Maker</t>
  </si>
  <si>
    <t>Website</t>
  </si>
  <si>
    <t>Sales</t>
  </si>
  <si>
    <t>Build a secure policy and operations knowledge assistant.</t>
  </si>
  <si>
    <t>High</t>
  </si>
  <si>
    <t>Strategic</t>
  </si>
  <si>
    <t>Supported</t>
  </si>
  <si>
    <t>Hot</t>
  </si>
  <si>
    <t>Priya Nair</t>
  </si>
  <si>
    <t>Duplicate</t>
  </si>
  <si>
    <t>Flagged Duplicate</t>
  </si>
  <si>
    <t>LD-2026-0002</t>
  </si>
  <si>
    <t>MSG-EX-002</t>
  </si>
  <si>
    <t>sophie.turner@northstar.example</t>
  </si>
  <si>
    <t>Sophie Turner</t>
  </si>
  <si>
    <t>NorthStar Logistics</t>
  </si>
  <si>
    <t>VP Operations</t>
  </si>
  <si>
    <t>United Kingdom</t>
  </si>
  <si>
    <t>UK &amp; Ireland</t>
  </si>
  <si>
    <t>Logistics</t>
  </si>
  <si>
    <t>Autonomous Sales Operations Agent</t>
  </si>
  <si>
    <t>Partner Referral</t>
  </si>
  <si>
    <t>Automate inbound lead routing and proposal preparation.</t>
  </si>
  <si>
    <t>Emma Clarke</t>
  </si>
  <si>
    <t>Open</t>
  </si>
  <si>
    <t>LD-2026-0003</t>
  </si>
  <si>
    <t>MSG-EX-003</t>
  </si>
  <si>
    <t>ravi.kumar@greencore.example</t>
  </si>
  <si>
    <t>Ravi Kumar</t>
  </si>
  <si>
    <t>GreenCore Manufacturing</t>
  </si>
  <si>
    <t>IT Manager</t>
  </si>
  <si>
    <t>Mid-Market</t>
  </si>
  <si>
    <t>Manufacturing</t>
  </si>
  <si>
    <t>AI Agent Enablement Workshop</t>
  </si>
  <si>
    <t>Strong Influencer</t>
  </si>
  <si>
    <t>Industry Event</t>
  </si>
  <si>
    <t>Upskill engineering team on agentic AI.</t>
  </si>
  <si>
    <t>Standard</t>
  </si>
  <si>
    <t>Qualified</t>
  </si>
  <si>
    <t>Contacted</t>
  </si>
  <si>
    <t>LD-2026-0004</t>
  </si>
  <si>
    <t>MSG-EX-004</t>
  </si>
  <si>
    <t>maya.chen@helixhealth.example</t>
  </si>
  <si>
    <t>Maya Chen</t>
  </si>
  <si>
    <t>Helix Health</t>
  </si>
  <si>
    <t>Director AI</t>
  </si>
  <si>
    <t>Singapore</t>
  </si>
  <si>
    <t>Southeast Asia</t>
  </si>
  <si>
    <t>Healthcare</t>
  </si>
  <si>
    <t>AI Governance and Evaluation Accelerator</t>
  </si>
  <si>
    <t>Executive Referral</t>
  </si>
  <si>
    <t>Create AI governance and evaluation operating model.</t>
  </si>
  <si>
    <t>Daniel Tan</t>
  </si>
  <si>
    <t>LD-2026-0005</t>
  </si>
  <si>
    <t>MSG-EX-005</t>
  </si>
  <si>
    <t>noah.williams@brightmart.example</t>
  </si>
  <si>
    <t>Noah Williams</t>
  </si>
  <si>
    <t>BrightMart</t>
  </si>
  <si>
    <t>Business Analyst</t>
  </si>
  <si>
    <t>Australia</t>
  </si>
  <si>
    <t>ANZ</t>
  </si>
  <si>
    <t>Retail</t>
  </si>
  <si>
    <t>Researcher/User</t>
  </si>
  <si>
    <t>Explore enterprise search options.</t>
  </si>
  <si>
    <t>Medium</t>
  </si>
  <si>
    <t>Nurture</t>
  </si>
  <si>
    <t>Olivia Bennett</t>
  </si>
  <si>
    <t>LD-2026-0006</t>
  </si>
  <si>
    <t>MSG-EX-006</t>
  </si>
  <si>
    <t>elena.fischer@eurotel.example</t>
  </si>
  <si>
    <t>Elena Fischer</t>
  </si>
  <si>
    <t>EuroTel</t>
  </si>
  <si>
    <t>CTO</t>
  </si>
  <si>
    <t>Germany</t>
  </si>
  <si>
    <t>Western Europe</t>
  </si>
  <si>
    <t>Telecommunications</t>
  </si>
  <si>
    <t>Multi-Agent Service Operations System</t>
  </si>
  <si>
    <t>Modernise service operations through specialist agents.</t>
  </si>
  <si>
    <t>Lucas Martin</t>
  </si>
  <si>
    <t>LD-2026-0007</t>
  </si>
  <si>
    <t>MSG-EX-007</t>
  </si>
  <si>
    <t>amina.dlamini@capefin.example</t>
  </si>
  <si>
    <t>Amina Dlamini</t>
  </si>
  <si>
    <t>CapeFin</t>
  </si>
  <si>
    <t>Head of Risk</t>
  </si>
  <si>
    <t>South Africa</t>
  </si>
  <si>
    <t>Africa</t>
  </si>
  <si>
    <t>Customer Referral</t>
  </si>
  <si>
    <t>Establish evaluation and governance controls.</t>
  </si>
  <si>
    <t>Amina Mensah</t>
  </si>
  <si>
    <t>LD-2026-0008</t>
  </si>
  <si>
    <t>MSG-EX-008</t>
  </si>
  <si>
    <t>liam.brown@vertexlabs.example</t>
  </si>
  <si>
    <t>Liam Brown</t>
  </si>
  <si>
    <t>Vertex Labs</t>
  </si>
  <si>
    <t>Founder</t>
  </si>
  <si>
    <t>Canada</t>
  </si>
  <si>
    <t>North America</t>
  </si>
  <si>
    <t>Startup/Micro</t>
  </si>
  <si>
    <t>Technology</t>
  </si>
  <si>
    <t>Inbound Email</t>
  </si>
  <si>
    <t>Small-team workshop request.</t>
  </si>
  <si>
    <t>Sophia Carter</t>
  </si>
  <si>
    <t>LD-2026-0009</t>
  </si>
  <si>
    <t>AAMkADZiZTY5NzdjLWVlZDAtNDYxYi05M2U5LWUxNTc3MTc2MDI5ZQBGAAAAAABI99nW9WcMSpZqPuPa40CvBwBXbV6asUD8QITDvKke1Yh8AAAAAAEMAABXbV6asUD8QITDvKke1Yh8AAArOzCUAAA=</t>
  </si>
  <si>
    <t>vaibhavdevarcade@gmail.com</t>
  </si>
  <si>
    <t>Neha Sharma</t>
  </si>
  <si>
    <t>Orbital Finance</t>
  </si>
  <si>
    <t>Chief Data Officer</t>
  </si>
  <si>
    <t>Custom Agentic AI Platform Implementation</t>
  </si>
  <si>
    <t>Deploy a governed multi-agent platform across lending and customer operations</t>
  </si>
  <si>
    <t>Processed</t>
  </si>
  <si>
    <t>Company Size</t>
  </si>
  <si>
    <t>https://agilecon15-my.sharepoint.com/personal/vaibhav_kesarwani_agileventures_net/_layouts/15/download.aspx?UniqueId=62333450-16e9-4b15-99e7-41ec852f627a</t>
  </si>
  <si>
    <t>Word Report Generated</t>
  </si>
  <si>
    <t>LD-2026-0010</t>
  </si>
  <si>
    <t>Ben Hughes</t>
  </si>
  <si>
    <t>Acme Logistics</t>
  </si>
  <si>
    <t>Operations Director</t>
  </si>
  <si>
    <t>Automate inbound lead qualification and opportunity routing for regional sales team</t>
  </si>
  <si>
    <t>Company Size; Industry</t>
  </si>
  <si>
    <t>Lead Registered</t>
  </si>
  <si>
    <t>LD-2026-0011</t>
  </si>
  <si>
    <t>Aarav Student</t>
  </si>
  <si>
    <t>City University</t>
  </si>
  <si>
    <t>Academic/Research</t>
  </si>
  <si>
    <t>Academic research request for interview and source code</t>
  </si>
  <si>
    <t>Not a Sales Lead</t>
  </si>
  <si>
    <t>Closed - Non Lead</t>
  </si>
  <si>
    <t>Non-Lead Logged</t>
  </si>
  <si>
    <t>LD-2026-0012</t>
  </si>
  <si>
    <t>Fatima Al Noor</t>
  </si>
  <si>
    <t>Desert Retail</t>
  </si>
  <si>
    <t>Head of Technology</t>
  </si>
  <si>
    <t>United Arab Emirates</t>
  </si>
  <si>
    <t>Middle East</t>
  </si>
  <si>
    <t>Automate service desk and store operations across 80 locations</t>
  </si>
  <si>
    <t>Omar Rahman</t>
  </si>
  <si>
    <t>LD-2026-0013</t>
  </si>
  <si>
    <t>Mina Lee</t>
  </si>
  <si>
    <t>SmallStartup</t>
  </si>
  <si>
    <t>Custom agent platform implementation</t>
  </si>
  <si>
    <t>Low Priority</t>
  </si>
  <si>
    <t>Low</t>
  </si>
  <si>
    <t>LD-2026-0014</t>
  </si>
  <si>
    <t>Carlos Reyes</t>
  </si>
  <si>
    <t>Global Mining</t>
  </si>
  <si>
    <t>VP Technology</t>
  </si>
  <si>
    <t>Chile</t>
  </si>
  <si>
    <t>Unassigned</t>
  </si>
  <si>
    <t>Governance for production GenAI deployments across multiple business units</t>
  </si>
  <si>
    <t>Unmapped Territory</t>
  </si>
  <si>
    <t>Human Review Required</t>
  </si>
  <si>
    <t>Sales Operations</t>
  </si>
  <si>
    <t>LD-2026-0015</t>
  </si>
  <si>
    <t>Unknown</t>
  </si>
  <si>
    <t>Unknown company</t>
  </si>
  <si>
    <t>Need AI. Call me.</t>
  </si>
  <si>
    <t>Additional Information Required</t>
  </si>
  <si>
    <t>Contact name, company details, budget, purchase timeline, decision role confirmation</t>
  </si>
  <si>
    <t>Dimension</t>
  </si>
  <si>
    <t>Band_or_Value</t>
  </si>
  <si>
    <t>Points</t>
  </si>
  <si>
    <t>Business_Rule</t>
  </si>
  <si>
    <t>Product Fit</t>
  </si>
  <si>
    <t>Direct match to a strategic NovaWorks offering.</t>
  </si>
  <si>
    <t>Valid but non-strategic or smaller engagement.</t>
  </si>
  <si>
    <t>Limited</t>
  </si>
  <si>
    <t>Partial match; requires discovery.</t>
  </si>
  <si>
    <t>Unsupported</t>
  </si>
  <si>
    <t>No supported offering or non-sales requirement.</t>
  </si>
  <si>
    <t>Budget</t>
  </si>
  <si>
    <t>At or above recommended minimum</t>
  </si>
  <si>
    <t>Budget meets or exceeds recommended minimum.</t>
  </si>
  <si>
    <t>75% to below minimum</t>
  </si>
  <si>
    <t>Potentially viable with scope adjustment.</t>
  </si>
  <si>
    <t>50% to below 75% of minimum</t>
  </si>
  <si>
    <t>Material budget gap.</t>
  </si>
  <si>
    <t>Below 50% of minimum</t>
  </si>
  <si>
    <t>Low commercial viability.</t>
  </si>
  <si>
    <t>Budget information is missing.</t>
  </si>
  <si>
    <t>Timeline</t>
  </si>
  <si>
    <t>0-30 days</t>
  </si>
  <si>
    <t>Immediate purchase window.</t>
  </si>
  <si>
    <t>31-90 days</t>
  </si>
  <si>
    <t>Near-term purchase window.</t>
  </si>
  <si>
    <t>91-180 days</t>
  </si>
  <si>
    <t>Medium-term purchase window.</t>
  </si>
  <si>
    <t>Over 180 days or unknown</t>
  </si>
  <si>
    <t>Long-term or missing timeline.</t>
  </si>
  <si>
    <t>Decision Role</t>
  </si>
  <si>
    <t>Budget holder or final approver.</t>
  </si>
  <si>
    <t>Can shape the decision but cannot approve.</t>
  </si>
  <si>
    <t>Early-stage evaluator or end user.</t>
  </si>
  <si>
    <t>Role is missing or unclear.</t>
  </si>
  <si>
    <t>1000 or more employees.</t>
  </si>
  <si>
    <t>200-999 employees.</t>
  </si>
  <si>
    <t>SMB</t>
  </si>
  <si>
    <t>20-199 employees.</t>
  </si>
  <si>
    <t>Fewer than 20 employees.</t>
  </si>
  <si>
    <t>Mapped sales owner is available.</t>
  </si>
  <si>
    <t>Management Review</t>
  </si>
  <si>
    <t>Opportunity requires sales operations review.</t>
  </si>
  <si>
    <t>Lead Source</t>
  </si>
  <si>
    <t>Executive/Partner Referral</t>
  </si>
  <si>
    <t>High-trust referral source.</t>
  </si>
  <si>
    <t>Customer Referral/Event</t>
  </si>
  <si>
    <t>Known or engaged source.</t>
  </si>
  <si>
    <t>Website/Inbound</t>
  </si>
  <si>
    <t>Standard inbound lead.</t>
  </si>
  <si>
    <t>Cold/Unknown</t>
  </si>
  <si>
    <t>Unverified or low-context source.</t>
  </si>
  <si>
    <t>Completeness</t>
  </si>
  <si>
    <t>All mandatory fields</t>
  </si>
  <si>
    <t>No mandatory information missing.</t>
  </si>
  <si>
    <t>One or two fields missing</t>
  </si>
  <si>
    <t>Follow-up can resolve gaps.</t>
  </si>
  <si>
    <t>Three or more fields missing</t>
  </si>
  <si>
    <t>Insufficient information for autonomous qualification.</t>
  </si>
  <si>
    <t>Default_Owner</t>
  </si>
  <si>
    <t>Owner_Email</t>
  </si>
  <si>
    <t>Time_Zone</t>
  </si>
  <si>
    <t>Autonomous_Assignment_Allowed</t>
  </si>
  <si>
    <t>priya.nair@novaworks.example</t>
  </si>
  <si>
    <t>IST</t>
  </si>
  <si>
    <t>United States</t>
  </si>
  <si>
    <t>sophia.carter@novaworks.example</t>
  </si>
  <si>
    <t>ET/PT</t>
  </si>
  <si>
    <t>emma.clarke@novaworks.example</t>
  </si>
  <si>
    <t>GMT/BST</t>
  </si>
  <si>
    <t>Ireland</t>
  </si>
  <si>
    <t>GMT/IST</t>
  </si>
  <si>
    <t>omar.rahman@novaworks.example</t>
  </si>
  <si>
    <t>GST</t>
  </si>
  <si>
    <t>daniel.tan@novaworks.example</t>
  </si>
  <si>
    <t>SGT</t>
  </si>
  <si>
    <t>olivia.bennett@novaworks.example</t>
  </si>
  <si>
    <t>AEST/AEDT</t>
  </si>
  <si>
    <t>lucas.martin@novaworks.example</t>
  </si>
  <si>
    <t>CET/CEST</t>
  </si>
  <si>
    <t>France</t>
  </si>
  <si>
    <t>amina.mensah@novaworks.example</t>
  </si>
  <si>
    <t>SAST</t>
  </si>
  <si>
    <t>Other</t>
  </si>
  <si>
    <t>sales.operations@novaworks.example</t>
  </si>
  <si>
    <t>Varies</t>
  </si>
  <si>
    <t>Product_ID</t>
  </si>
  <si>
    <t>Product_Name</t>
  </si>
  <si>
    <t>Category</t>
  </si>
  <si>
    <t>Minimum_Budget_USD</t>
  </si>
  <si>
    <t>Typical_Maximum_USD</t>
  </si>
  <si>
    <t>Target_Company_Size</t>
  </si>
  <si>
    <t>Priority_Industries</t>
  </si>
  <si>
    <t>Description</t>
  </si>
  <si>
    <t>PRD-001</t>
  </si>
  <si>
    <t>Training</t>
  </si>
  <si>
    <t>SMB|Mid-Market|Enterprise</t>
  </si>
  <si>
    <t>All</t>
  </si>
  <si>
    <t>Instructor-led enterprise training on generative and agentic AI.</t>
  </si>
  <si>
    <t>PRD-002</t>
  </si>
  <si>
    <t>Solution</t>
  </si>
  <si>
    <t>Mid-Market|Enterprise</t>
  </si>
  <si>
    <t>Professional Services|Financial Services|Manufacturing|Retail|Healthcare</t>
  </si>
  <si>
    <t>Secure knowledge assistant grounded in enterprise documents.</t>
  </si>
  <si>
    <t>PRD-003</t>
  </si>
  <si>
    <t>Professional Services|Technology|Manufacturing|Retail</t>
  </si>
  <si>
    <t>Autonomous lead, proposal, and sales-operations workflow agent.</t>
  </si>
  <si>
    <t>PRD-004</t>
  </si>
  <si>
    <t>Technology|Telecommunications|Financial Services|Manufacturing</t>
  </si>
  <si>
    <t>Supervisor and specialist agents for service operations.</t>
  </si>
  <si>
    <t>PRD-005</t>
  </si>
  <si>
    <t>Advisory</t>
  </si>
  <si>
    <t>Financial Services|Healthcare|Public Sector|Technology</t>
  </si>
  <si>
    <t>Governance, evaluation, guardrails, and operating model engagement.</t>
  </si>
  <si>
    <t>PRD-006</t>
  </si>
  <si>
    <t>Implementation</t>
  </si>
  <si>
    <t>Custom enterprise agentic AI implementation and integration.</t>
  </si>
  <si>
    <t>Owner_Name</t>
  </si>
  <si>
    <t>Role</t>
  </si>
  <si>
    <t>Email</t>
  </si>
  <si>
    <t>Maximum_Open_Hot_Leads</t>
  </si>
  <si>
    <t>Status</t>
  </si>
  <si>
    <t>Enterprise Account Executive</t>
  </si>
  <si>
    <t>Active</t>
  </si>
  <si>
    <t>Sales Operations Review</t>
  </si>
  <si>
    <t>Minimum_Score</t>
  </si>
  <si>
    <t>Maximum_Score</t>
  </si>
  <si>
    <t>Required_Autonomous_Actions</t>
  </si>
  <si>
    <t>Decision_Confidence_Required</t>
  </si>
  <si>
    <t>Create Word report; add Excel row; notify assigned owner and sales operations; send acknowledgement</t>
  </si>
  <si>
    <t>Create Word report; add Excel row; notify assigned owner; send acknowledgement</t>
  </si>
  <si>
    <t>High or Medium</t>
  </si>
  <si>
    <t>Add Excel row; send missing-information or nurture response; notify owner only if strategic account</t>
  </si>
  <si>
    <t>Add Excel row; send polite acknowledgement or internal-only review based on confidence</t>
  </si>
  <si>
    <t>Add Excel row; send information request; do not create final qualification report</t>
  </si>
  <si>
    <t>Low or insufficient data</t>
  </si>
  <si>
    <t>Add Excel row; notify sales operations; do not send decision externally</t>
  </si>
  <si>
    <t>Low or exception condition</t>
  </si>
  <si>
    <t>Update existing Excel row; do not create duplicate report or duplicate acknowledgement</t>
  </si>
  <si>
    <t>Log as ignored/non-sales; do not create qualification report</t>
  </si>
  <si>
    <t>P2-003 Sales Lead Register Summary</t>
  </si>
  <si>
    <t>Metric</t>
  </si>
  <si>
    <t>Value</t>
  </si>
  <si>
    <t>Total Leads</t>
  </si>
  <si>
    <t>Open Pipeline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</si>
</sst>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14" fontId="0" fillId="0" borderId="0" xfId="0" applyNumberFormat="1" applyAlignment="1">
      <alignment wrapText="1"/>
    </xf>
    <xf numFmtId="0" fontId="2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Lead Classification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Dashboard!$A$5:$A$9</c:f>
              <c:strCache>
                <c:ptCount val="5"/>
                <c:pt idx="0">
                  <c:v>Hot</c:v>
                </c:pt>
                <c:pt idx="1">
                  <c:v>Qualified</c:v>
                </c:pt>
                <c:pt idx="2">
                  <c:v>Nurture</c:v>
                </c:pt>
                <c:pt idx="3">
                  <c:v>Low Priority</c:v>
                </c:pt>
                <c:pt idx="4">
                  <c:v>Human Review Required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2-4B2E-862D-562F195CA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dsRegisterTable" displayName="LeadsRegisterTable" ref="A1:AF16">
  <tableColumns count="32">
    <tableColumn id="1" xr3:uid="{00000000-0010-0000-0000-000001000000}" name="Lead_ID"/>
    <tableColumn id="2" xr3:uid="{00000000-0010-0000-0000-000002000000}" name="Received_Date"/>
    <tableColumn id="3" xr3:uid="{00000000-0010-0000-0000-000003000000}" name="Source_Message_ID"/>
    <tableColumn id="4" xr3:uid="{00000000-0010-0000-0000-000004000000}" name="Sender_Email"/>
    <tableColumn id="5" xr3:uid="{00000000-0010-0000-0000-000005000000}" name="Contact_Name"/>
    <tableColumn id="6" xr3:uid="{00000000-0010-0000-0000-000006000000}" name="Company_Name"/>
    <tableColumn id="7" xr3:uid="{00000000-0010-0000-0000-000007000000}" name="Job_Title"/>
    <tableColumn id="8" xr3:uid="{00000000-0010-0000-0000-000008000000}" name="Country"/>
    <tableColumn id="9" xr3:uid="{00000000-0010-0000-0000-000009000000}" name="Territory"/>
    <tableColumn id="10" xr3:uid="{00000000-0010-0000-0000-00000A000000}" name="Company_Size"/>
    <tableColumn id="11" xr3:uid="{00000000-0010-0000-0000-00000B000000}" name="Industry"/>
    <tableColumn id="12" xr3:uid="{00000000-0010-0000-0000-00000C000000}" name="Product_Interest"/>
    <tableColumn id="13" xr3:uid="{00000000-0010-0000-0000-00000D000000}" name="Estimated_Budget_USD"/>
    <tableColumn id="14" xr3:uid="{00000000-0010-0000-0000-00000E000000}" name="Purchase_Timeline_Days"/>
    <tableColumn id="15" xr3:uid="{00000000-0010-0000-0000-00000F000000}" name="Decision_Role"/>
    <tableColumn id="16" xr3:uid="{00000000-0010-0000-0000-000010000000}" name="Lead_Source"/>
    <tableColumn id="17" xr3:uid="{00000000-0010-0000-0000-000011000000}" name="Inquiry_Type"/>
    <tableColumn id="18" xr3:uid="{00000000-0010-0000-0000-000012000000}" name="Business_Need"/>
    <tableColumn id="19" xr3:uid="{00000000-0010-0000-0000-000013000000}" name="Missing_Field_Count"/>
    <tableColumn id="20" xr3:uid="{00000000-0010-0000-0000-000014000000}" name="Decision_Confidence"/>
    <tableColumn id="21" xr3:uid="{00000000-0010-0000-0000-000015000000}" name="Product_Fit"/>
    <tableColumn id="22" xr3:uid="{00000000-0010-0000-0000-000016000000}" name="Territory_Status"/>
    <tableColumn id="23" xr3:uid="{00000000-0010-0000-0000-000017000000}" name="Qualification_Score"/>
    <tableColumn id="24" xr3:uid="{00000000-0010-0000-0000-000018000000}" name="Classification"/>
    <tableColumn id="25" xr3:uid="{00000000-0010-0000-0000-000019000000}" name="Priority"/>
    <tableColumn id="26" xr3:uid="{00000000-0010-0000-0000-00001A000000}" name="Assigned_Owner"/>
    <tableColumn id="27" xr3:uid="{00000000-0010-0000-0000-00001B000000}" name="Processing_Status"/>
    <tableColumn id="28" xr3:uid="{00000000-0010-0000-0000-00001C000000}" name="Missing_Information"/>
    <tableColumn id="29" xr3:uid="{00000000-0010-0000-0000-00001D000000}" name="Risk_Flags"/>
    <tableColumn id="30" xr3:uid="{00000000-0010-0000-0000-00001E000000}" name="Word_Report_Path"/>
    <tableColumn id="31" xr3:uid="{00000000-0010-0000-0000-00001F000000}" name="Last_Action"/>
    <tableColumn id="32" xr3:uid="{00000000-0010-0000-0000-000020000000}" name="Last_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lificationRulesTable" displayName="QualificationRulesTable" ref="A1:D31">
  <tableColumns count="4">
    <tableColumn id="1" xr3:uid="{00000000-0010-0000-0100-000001000000}" name="Dimension"/>
    <tableColumn id="2" xr3:uid="{00000000-0010-0000-0100-000002000000}" name="Band_or_Value"/>
    <tableColumn id="3" xr3:uid="{00000000-0010-0000-0100-000003000000}" name="Points"/>
    <tableColumn id="4" xr3:uid="{00000000-0010-0000-0100-000004000000}" name="Business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rritoryOwnersTable" displayName="TerritoryOwnersTable" ref="A1:G13">
  <tableColumns count="7">
    <tableColumn id="1" xr3:uid="{00000000-0010-0000-0200-000001000000}" name="Country"/>
    <tableColumn id="2" xr3:uid="{00000000-0010-0000-0200-000002000000}" name="Territory"/>
    <tableColumn id="3" xr3:uid="{00000000-0010-0000-0200-000003000000}" name="Default_Owner"/>
    <tableColumn id="4" xr3:uid="{00000000-0010-0000-0200-000004000000}" name="Owner_Email"/>
    <tableColumn id="5" xr3:uid="{00000000-0010-0000-0200-000005000000}" name="Territory_Status"/>
    <tableColumn id="6" xr3:uid="{00000000-0010-0000-0200-000006000000}" name="Time_Zone"/>
    <tableColumn id="7" xr3:uid="{00000000-0010-0000-0200-000007000000}" name="Autonomous_Assignment_Allow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CatalogTable" displayName="ProductCatalogTable" ref="A1:I7">
  <tableColumns count="9">
    <tableColumn id="1" xr3:uid="{00000000-0010-0000-0300-000001000000}" name="Product_ID"/>
    <tableColumn id="2" xr3:uid="{00000000-0010-0000-0300-000002000000}" name="Product_Name"/>
    <tableColumn id="3" xr3:uid="{00000000-0010-0000-0300-000003000000}" name="Category"/>
    <tableColumn id="4" xr3:uid="{00000000-0010-0000-0300-000004000000}" name="Minimum_Budget_USD"/>
    <tableColumn id="5" xr3:uid="{00000000-0010-0000-0300-000005000000}" name="Typical_Maximum_USD"/>
    <tableColumn id="6" xr3:uid="{00000000-0010-0000-0300-000006000000}" name="Target_Company_Size"/>
    <tableColumn id="7" xr3:uid="{00000000-0010-0000-0300-000007000000}" name="Priority_Industries"/>
    <tableColumn id="8" xr3:uid="{00000000-0010-0000-0300-000008000000}" name="Product_Fit"/>
    <tableColumn id="9" xr3:uid="{00000000-0010-0000-0300-000009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alesOwnersTable" displayName="SalesOwnersTable" ref="A1:F10">
  <tableColumns count="6">
    <tableColumn id="1" xr3:uid="{00000000-0010-0000-0400-000001000000}" name="Owner_Name"/>
    <tableColumn id="2" xr3:uid="{00000000-0010-0000-0400-000002000000}" name="Territory"/>
    <tableColumn id="3" xr3:uid="{00000000-0010-0000-0400-000003000000}" name="Role"/>
    <tableColumn id="4" xr3:uid="{00000000-0010-0000-0400-000004000000}" name="Email"/>
    <tableColumn id="5" xr3:uid="{00000000-0010-0000-0400-000005000000}" name="Maximum_Open_Hot_Leads"/>
    <tableColumn id="6" xr3:uid="{00000000-0010-0000-0400-000006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ctionMatrixTable" displayName="ActionMatrixTable" ref="A1:E9">
  <tableColumns count="5">
    <tableColumn id="1" xr3:uid="{00000000-0010-0000-0500-000001000000}" name="Classification"/>
    <tableColumn id="2" xr3:uid="{00000000-0010-0000-0500-000002000000}" name="Minimum_Score"/>
    <tableColumn id="3" xr3:uid="{00000000-0010-0000-0500-000003000000}" name="Maximum_Score"/>
    <tableColumn id="4" xr3:uid="{00000000-0010-0000-0500-000004000000}" name="Required_Autonomous_Actions"/>
    <tableColumn id="5" xr3:uid="{00000000-0010-0000-0500-000005000000}" name="Decision_Confidence_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topLeftCell="A11" zoomScaleNormal="100" zoomScaleSheetLayoutView="100" workbookViewId="0">
      <selection activeCell="E10" sqref="E10"/>
    </sheetView>
  </sheetViews>
  <sheetFormatPr defaultRowHeight="15"/>
  <cols>
    <col min="1" max="1" width="15" customWidth="1"/>
    <col min="2" max="2" width="13" style="5" customWidth="1"/>
    <col min="3" max="3" width="20" customWidth="1"/>
    <col min="4" max="4" width="28" customWidth="1"/>
    <col min="5" max="5" width="20" customWidth="1"/>
    <col min="6" max="6" width="24" customWidth="1"/>
    <col min="7" max="7" width="22" customWidth="1"/>
    <col min="8" max="9" width="18" customWidth="1"/>
    <col min="10" max="10" width="16" customWidth="1"/>
    <col min="11" max="11" width="20" customWidth="1"/>
    <col min="12" max="12" width="32" customWidth="1"/>
    <col min="13" max="13" width="18" style="7" customWidth="1"/>
    <col min="14" max="16" width="18" customWidth="1"/>
    <col min="17" max="17" width="16" customWidth="1"/>
    <col min="18" max="18" width="38" customWidth="1"/>
    <col min="19" max="19" width="16" customWidth="1"/>
    <col min="20" max="20" width="18" customWidth="1"/>
    <col min="21" max="21" width="15" customWidth="1"/>
    <col min="22" max="23" width="18" customWidth="1"/>
    <col min="24" max="24" width="24" customWidth="1"/>
    <col min="25" max="25" width="12" customWidth="1"/>
    <col min="26" max="26" width="20" customWidth="1"/>
    <col min="27" max="27" width="18" customWidth="1"/>
    <col min="28" max="31" width="28" customWidth="1"/>
    <col min="32" max="32" width="18" customWidth="1"/>
  </cols>
  <sheetData>
    <row r="1" spans="1:32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33.75">
      <c r="A2" s="3" t="s">
        <v>32</v>
      </c>
      <c r="B2" s="4">
        <v>46232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6">
        <v>160000</v>
      </c>
      <c r="N2" s="3">
        <v>45</v>
      </c>
      <c r="O2" s="3" t="s">
        <v>43</v>
      </c>
      <c r="P2" s="3" t="s">
        <v>44</v>
      </c>
      <c r="Q2" s="3" t="s">
        <v>45</v>
      </c>
      <c r="R2" s="3" t="s">
        <v>46</v>
      </c>
      <c r="S2" s="3">
        <v>0</v>
      </c>
      <c r="T2" s="3" t="s">
        <v>47</v>
      </c>
      <c r="U2" s="3" t="s">
        <v>48</v>
      </c>
      <c r="V2" s="3" t="s">
        <v>49</v>
      </c>
      <c r="W2" s="3">
        <v>93</v>
      </c>
      <c r="X2" s="3" t="s">
        <v>50</v>
      </c>
      <c r="Y2" s="3" t="s">
        <v>47</v>
      </c>
      <c r="Z2" s="3" t="s">
        <v>51</v>
      </c>
      <c r="AA2" s="3" t="s">
        <v>52</v>
      </c>
      <c r="AB2" s="3"/>
      <c r="AC2" s="3"/>
      <c r="AD2" s="3"/>
      <c r="AE2" s="3" t="s">
        <v>53</v>
      </c>
      <c r="AF2" s="3">
        <v>46232</v>
      </c>
    </row>
    <row r="3" spans="1:32">
      <c r="A3" s="3" t="s">
        <v>54</v>
      </c>
      <c r="B3" s="4">
        <v>46232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40</v>
      </c>
      <c r="K3" s="3" t="s">
        <v>62</v>
      </c>
      <c r="L3" s="3" t="s">
        <v>63</v>
      </c>
      <c r="M3" s="6">
        <v>120000</v>
      </c>
      <c r="N3" s="3">
        <v>60</v>
      </c>
      <c r="O3" s="3" t="s">
        <v>43</v>
      </c>
      <c r="P3" s="3" t="s">
        <v>64</v>
      </c>
      <c r="Q3" s="3" t="s">
        <v>45</v>
      </c>
      <c r="R3" s="3" t="s">
        <v>65</v>
      </c>
      <c r="S3" s="3">
        <v>0</v>
      </c>
      <c r="T3" s="3" t="s">
        <v>47</v>
      </c>
      <c r="U3" s="3" t="s">
        <v>48</v>
      </c>
      <c r="V3" s="3" t="s">
        <v>49</v>
      </c>
      <c r="W3" s="3">
        <v>95</v>
      </c>
      <c r="X3" s="3" t="s">
        <v>50</v>
      </c>
      <c r="Y3" s="3" t="s">
        <v>47</v>
      </c>
      <c r="Z3" s="3" t="s">
        <v>66</v>
      </c>
      <c r="AA3" s="3" t="s">
        <v>67</v>
      </c>
      <c r="AB3" s="3"/>
      <c r="AC3" s="3"/>
      <c r="AD3" s="3"/>
      <c r="AE3" s="3"/>
      <c r="AF3" s="3">
        <v>46232</v>
      </c>
    </row>
    <row r="4" spans="1:32">
      <c r="A4" s="3" t="s">
        <v>68</v>
      </c>
      <c r="B4" s="4">
        <v>46232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38</v>
      </c>
      <c r="I4" s="3" t="s">
        <v>39</v>
      </c>
      <c r="J4" s="3" t="s">
        <v>74</v>
      </c>
      <c r="K4" s="3" t="s">
        <v>75</v>
      </c>
      <c r="L4" s="3" t="s">
        <v>76</v>
      </c>
      <c r="M4" s="6">
        <v>20000</v>
      </c>
      <c r="N4" s="3">
        <v>30</v>
      </c>
      <c r="O4" s="3" t="s">
        <v>77</v>
      </c>
      <c r="P4" s="3" t="s">
        <v>78</v>
      </c>
      <c r="Q4" s="3" t="s">
        <v>45</v>
      </c>
      <c r="R4" s="3" t="s">
        <v>79</v>
      </c>
      <c r="S4" s="3">
        <v>0</v>
      </c>
      <c r="T4" s="3" t="s">
        <v>47</v>
      </c>
      <c r="U4" s="3" t="s">
        <v>80</v>
      </c>
      <c r="V4" s="3" t="s">
        <v>49</v>
      </c>
      <c r="W4" s="3">
        <v>81</v>
      </c>
      <c r="X4" s="3" t="s">
        <v>81</v>
      </c>
      <c r="Y4" s="3" t="s">
        <v>47</v>
      </c>
      <c r="Z4" s="3" t="s">
        <v>51</v>
      </c>
      <c r="AA4" s="3" t="s">
        <v>82</v>
      </c>
      <c r="AB4" s="3"/>
      <c r="AC4" s="3"/>
      <c r="AD4" s="3"/>
      <c r="AE4" s="3"/>
      <c r="AF4" s="3">
        <v>46232</v>
      </c>
    </row>
    <row r="5" spans="1:32">
      <c r="A5" s="3" t="s">
        <v>83</v>
      </c>
      <c r="B5" s="4">
        <v>46232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3" t="s">
        <v>89</v>
      </c>
      <c r="I5" s="3" t="s">
        <v>90</v>
      </c>
      <c r="J5" s="3" t="s">
        <v>40</v>
      </c>
      <c r="K5" s="3" t="s">
        <v>91</v>
      </c>
      <c r="L5" s="3" t="s">
        <v>92</v>
      </c>
      <c r="M5" s="6">
        <v>85000</v>
      </c>
      <c r="N5" s="3">
        <v>90</v>
      </c>
      <c r="O5" s="3" t="s">
        <v>43</v>
      </c>
      <c r="P5" s="3" t="s">
        <v>93</v>
      </c>
      <c r="Q5" s="3" t="s">
        <v>45</v>
      </c>
      <c r="R5" s="3" t="s">
        <v>94</v>
      </c>
      <c r="S5" s="3">
        <v>0</v>
      </c>
      <c r="T5" s="3" t="s">
        <v>47</v>
      </c>
      <c r="U5" s="3" t="s">
        <v>48</v>
      </c>
      <c r="V5" s="3" t="s">
        <v>49</v>
      </c>
      <c r="W5" s="3">
        <v>95</v>
      </c>
      <c r="X5" s="3" t="s">
        <v>50</v>
      </c>
      <c r="Y5" s="3" t="s">
        <v>47</v>
      </c>
      <c r="Z5" s="3" t="s">
        <v>95</v>
      </c>
      <c r="AA5" s="3" t="s">
        <v>67</v>
      </c>
      <c r="AB5" s="3"/>
      <c r="AC5" s="3"/>
      <c r="AD5" s="3"/>
      <c r="AE5" s="3"/>
      <c r="AF5" s="3">
        <v>46232</v>
      </c>
    </row>
    <row r="6" spans="1:32">
      <c r="A6" s="3" t="s">
        <v>96</v>
      </c>
      <c r="B6" s="4">
        <v>46232</v>
      </c>
      <c r="C6" s="3" t="s">
        <v>97</v>
      </c>
      <c r="D6" s="3" t="s">
        <v>98</v>
      </c>
      <c r="E6" s="3" t="s">
        <v>99</v>
      </c>
      <c r="F6" s="3" t="s">
        <v>100</v>
      </c>
      <c r="G6" s="3" t="s">
        <v>101</v>
      </c>
      <c r="H6" s="3" t="s">
        <v>102</v>
      </c>
      <c r="I6" s="3" t="s">
        <v>103</v>
      </c>
      <c r="J6" s="3" t="s">
        <v>74</v>
      </c>
      <c r="K6" s="3" t="s">
        <v>104</v>
      </c>
      <c r="L6" s="3" t="s">
        <v>42</v>
      </c>
      <c r="M6" s="6">
        <v>30000</v>
      </c>
      <c r="N6" s="3">
        <v>150</v>
      </c>
      <c r="O6" s="3" t="s">
        <v>105</v>
      </c>
      <c r="P6" s="3" t="s">
        <v>44</v>
      </c>
      <c r="Q6" s="3" t="s">
        <v>45</v>
      </c>
      <c r="R6" s="3" t="s">
        <v>106</v>
      </c>
      <c r="S6" s="3">
        <v>1</v>
      </c>
      <c r="T6" s="3" t="s">
        <v>107</v>
      </c>
      <c r="U6" s="3" t="s">
        <v>48</v>
      </c>
      <c r="V6" s="3" t="s">
        <v>49</v>
      </c>
      <c r="W6" s="3">
        <v>61</v>
      </c>
      <c r="X6" s="3" t="s">
        <v>108</v>
      </c>
      <c r="Y6" s="3" t="s">
        <v>107</v>
      </c>
      <c r="Z6" s="3" t="s">
        <v>109</v>
      </c>
      <c r="AA6" s="3" t="s">
        <v>108</v>
      </c>
      <c r="AB6" s="3"/>
      <c r="AC6" s="3"/>
      <c r="AD6" s="3"/>
      <c r="AE6" s="3"/>
      <c r="AF6" s="3">
        <v>46232</v>
      </c>
    </row>
    <row r="7" spans="1:32">
      <c r="A7" s="3" t="s">
        <v>110</v>
      </c>
      <c r="B7" s="4">
        <v>46232</v>
      </c>
      <c r="C7" s="3" t="s">
        <v>111</v>
      </c>
      <c r="D7" s="3" t="s">
        <v>112</v>
      </c>
      <c r="E7" s="3" t="s">
        <v>113</v>
      </c>
      <c r="F7" s="3" t="s">
        <v>114</v>
      </c>
      <c r="G7" s="3" t="s">
        <v>115</v>
      </c>
      <c r="H7" s="3" t="s">
        <v>116</v>
      </c>
      <c r="I7" s="3" t="s">
        <v>117</v>
      </c>
      <c r="J7" s="3" t="s">
        <v>40</v>
      </c>
      <c r="K7" s="3" t="s">
        <v>118</v>
      </c>
      <c r="L7" s="3" t="s">
        <v>119</v>
      </c>
      <c r="M7" s="6">
        <v>300000</v>
      </c>
      <c r="N7" s="3">
        <v>120</v>
      </c>
      <c r="O7" s="3" t="s">
        <v>43</v>
      </c>
      <c r="P7" s="3" t="s">
        <v>64</v>
      </c>
      <c r="Q7" s="3" t="s">
        <v>45</v>
      </c>
      <c r="R7" s="3" t="s">
        <v>120</v>
      </c>
      <c r="S7" s="3">
        <v>0</v>
      </c>
      <c r="T7" s="3" t="s">
        <v>47</v>
      </c>
      <c r="U7" s="3" t="s">
        <v>48</v>
      </c>
      <c r="V7" s="3" t="s">
        <v>49</v>
      </c>
      <c r="W7" s="3">
        <v>90</v>
      </c>
      <c r="X7" s="3" t="s">
        <v>50</v>
      </c>
      <c r="Y7" s="3" t="s">
        <v>47</v>
      </c>
      <c r="Z7" s="3" t="s">
        <v>121</v>
      </c>
      <c r="AA7" s="3" t="s">
        <v>67</v>
      </c>
      <c r="AB7" s="3"/>
      <c r="AC7" s="3"/>
      <c r="AD7" s="3"/>
      <c r="AE7" s="3"/>
      <c r="AF7" s="3">
        <v>46232</v>
      </c>
    </row>
    <row r="8" spans="1:32">
      <c r="A8" s="3" t="s">
        <v>122</v>
      </c>
      <c r="B8" s="4">
        <v>46232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I8" s="3" t="s">
        <v>129</v>
      </c>
      <c r="J8" s="3" t="s">
        <v>74</v>
      </c>
      <c r="K8" s="3" t="s">
        <v>41</v>
      </c>
      <c r="L8" s="3" t="s">
        <v>92</v>
      </c>
      <c r="M8" s="6">
        <v>55000</v>
      </c>
      <c r="N8" s="3">
        <v>90</v>
      </c>
      <c r="O8" s="3" t="s">
        <v>77</v>
      </c>
      <c r="P8" s="3" t="s">
        <v>130</v>
      </c>
      <c r="Q8" s="3" t="s">
        <v>45</v>
      </c>
      <c r="R8" s="3" t="s">
        <v>131</v>
      </c>
      <c r="S8" s="3">
        <v>0</v>
      </c>
      <c r="T8" s="3" t="s">
        <v>47</v>
      </c>
      <c r="U8" s="3" t="s">
        <v>48</v>
      </c>
      <c r="V8" s="3" t="s">
        <v>49</v>
      </c>
      <c r="W8" s="3">
        <v>74</v>
      </c>
      <c r="X8" s="3" t="s">
        <v>81</v>
      </c>
      <c r="Y8" s="3" t="s">
        <v>47</v>
      </c>
      <c r="Z8" s="3" t="s">
        <v>132</v>
      </c>
      <c r="AA8" s="3" t="s">
        <v>67</v>
      </c>
      <c r="AB8" s="3"/>
      <c r="AC8" s="3"/>
      <c r="AD8" s="3"/>
      <c r="AE8" s="3"/>
      <c r="AF8" s="3">
        <v>46232</v>
      </c>
    </row>
    <row r="9" spans="1:32">
      <c r="A9" s="3" t="s">
        <v>133</v>
      </c>
      <c r="B9" s="4">
        <v>46232</v>
      </c>
      <c r="C9" s="3" t="s">
        <v>134</v>
      </c>
      <c r="D9" s="3" t="s">
        <v>135</v>
      </c>
      <c r="E9" s="3" t="s">
        <v>136</v>
      </c>
      <c r="F9" s="3" t="s">
        <v>137</v>
      </c>
      <c r="G9" s="3" t="s">
        <v>138</v>
      </c>
      <c r="H9" s="3" t="s">
        <v>139</v>
      </c>
      <c r="I9" s="3" t="s">
        <v>140</v>
      </c>
      <c r="J9" s="3" t="s">
        <v>141</v>
      </c>
      <c r="K9" s="3" t="s">
        <v>142</v>
      </c>
      <c r="L9" s="3" t="s">
        <v>76</v>
      </c>
      <c r="M9" s="6">
        <v>8000</v>
      </c>
      <c r="N9" s="3">
        <v>45</v>
      </c>
      <c r="O9" s="3" t="s">
        <v>43</v>
      </c>
      <c r="P9" s="3" t="s">
        <v>143</v>
      </c>
      <c r="Q9" s="3" t="s">
        <v>45</v>
      </c>
      <c r="R9" s="3" t="s">
        <v>144</v>
      </c>
      <c r="S9" s="3">
        <v>0</v>
      </c>
      <c r="T9" s="3" t="s">
        <v>47</v>
      </c>
      <c r="U9" s="3" t="s">
        <v>80</v>
      </c>
      <c r="V9" s="3" t="s">
        <v>49</v>
      </c>
      <c r="W9" s="3">
        <v>67</v>
      </c>
      <c r="X9" s="3" t="s">
        <v>108</v>
      </c>
      <c r="Y9" s="3" t="s">
        <v>107</v>
      </c>
      <c r="Z9" s="3" t="s">
        <v>145</v>
      </c>
      <c r="AA9" s="3" t="s">
        <v>108</v>
      </c>
      <c r="AB9" s="3"/>
      <c r="AC9" s="3"/>
      <c r="AD9" s="3"/>
      <c r="AE9" s="3"/>
      <c r="AF9" s="3">
        <v>46232</v>
      </c>
    </row>
    <row r="10" spans="1:32" ht="150.75">
      <c r="A10" s="3" t="s">
        <v>146</v>
      </c>
      <c r="B10" s="4">
        <v>46234</v>
      </c>
      <c r="C10" s="3" t="s">
        <v>147</v>
      </c>
      <c r="D10" s="3" t="s">
        <v>148</v>
      </c>
      <c r="E10" s="3" t="s">
        <v>149</v>
      </c>
      <c r="F10" s="3" t="s">
        <v>150</v>
      </c>
      <c r="G10" s="3" t="s">
        <v>151</v>
      </c>
      <c r="H10" s="3" t="s">
        <v>38</v>
      </c>
      <c r="I10" s="3" t="s">
        <v>39</v>
      </c>
      <c r="J10" s="3"/>
      <c r="K10" s="3" t="s">
        <v>41</v>
      </c>
      <c r="L10" s="3" t="s">
        <v>152</v>
      </c>
      <c r="M10" s="6">
        <v>600000</v>
      </c>
      <c r="N10" s="3">
        <v>30</v>
      </c>
      <c r="O10" s="3" t="s">
        <v>43</v>
      </c>
      <c r="P10" s="3" t="s">
        <v>143</v>
      </c>
      <c r="Q10" s="3" t="s">
        <v>45</v>
      </c>
      <c r="R10" s="3" t="s">
        <v>153</v>
      </c>
      <c r="S10" s="3">
        <v>2</v>
      </c>
      <c r="T10" s="3" t="s">
        <v>47</v>
      </c>
      <c r="U10" s="3" t="s">
        <v>48</v>
      </c>
      <c r="V10" s="3" t="s">
        <v>49</v>
      </c>
      <c r="W10" s="3">
        <v>86</v>
      </c>
      <c r="X10" s="3" t="s">
        <v>50</v>
      </c>
      <c r="Y10" s="3" t="s">
        <v>47</v>
      </c>
      <c r="Z10" s="3" t="s">
        <v>51</v>
      </c>
      <c r="AA10" s="3" t="s">
        <v>154</v>
      </c>
      <c r="AB10" s="3" t="s">
        <v>155</v>
      </c>
      <c r="AC10" s="3"/>
      <c r="AD10" s="3" t="s">
        <v>156</v>
      </c>
      <c r="AE10" s="3" t="s">
        <v>157</v>
      </c>
      <c r="AF10" s="8">
        <v>46234</v>
      </c>
    </row>
    <row r="11" spans="1:32" ht="33.75">
      <c r="A11" s="3" t="s">
        <v>158</v>
      </c>
      <c r="B11" s="4">
        <v>46234</v>
      </c>
      <c r="C11" s="3"/>
      <c r="D11" s="3"/>
      <c r="E11" s="3" t="s">
        <v>159</v>
      </c>
      <c r="F11" s="3" t="s">
        <v>160</v>
      </c>
      <c r="G11" s="3" t="s">
        <v>161</v>
      </c>
      <c r="H11" s="3" t="s">
        <v>60</v>
      </c>
      <c r="I11" s="3" t="s">
        <v>61</v>
      </c>
      <c r="J11" s="3"/>
      <c r="K11" s="3"/>
      <c r="L11" s="3" t="s">
        <v>63</v>
      </c>
      <c r="M11" s="6">
        <v>95000</v>
      </c>
      <c r="N11" s="3">
        <v>75</v>
      </c>
      <c r="O11" s="3" t="s">
        <v>77</v>
      </c>
      <c r="P11" s="3" t="s">
        <v>143</v>
      </c>
      <c r="Q11" s="3" t="s">
        <v>45</v>
      </c>
      <c r="R11" s="3" t="s">
        <v>162</v>
      </c>
      <c r="S11" s="3">
        <v>2</v>
      </c>
      <c r="T11" s="3" t="s">
        <v>107</v>
      </c>
      <c r="U11" s="3" t="s">
        <v>48</v>
      </c>
      <c r="V11" s="3" t="s">
        <v>49</v>
      </c>
      <c r="W11" s="3">
        <v>54</v>
      </c>
      <c r="X11" s="3" t="s">
        <v>108</v>
      </c>
      <c r="Y11" s="3" t="s">
        <v>107</v>
      </c>
      <c r="Z11" s="3" t="s">
        <v>66</v>
      </c>
      <c r="AA11" s="3" t="s">
        <v>154</v>
      </c>
      <c r="AB11" s="3" t="s">
        <v>163</v>
      </c>
      <c r="AC11" s="3"/>
      <c r="AD11" s="3"/>
      <c r="AE11" s="3" t="s">
        <v>164</v>
      </c>
      <c r="AF11" s="8">
        <v>46234</v>
      </c>
    </row>
    <row r="12" spans="1:32" ht="33.75">
      <c r="A12" s="3" t="s">
        <v>165</v>
      </c>
      <c r="B12" s="4">
        <v>46234</v>
      </c>
      <c r="C12" s="3"/>
      <c r="D12" s="3"/>
      <c r="E12" s="3" t="s">
        <v>166</v>
      </c>
      <c r="F12" s="3" t="s">
        <v>167</v>
      </c>
      <c r="G12" s="3"/>
      <c r="H12" s="3" t="s">
        <v>38</v>
      </c>
      <c r="I12" s="3"/>
      <c r="J12" s="3"/>
      <c r="K12" s="3"/>
      <c r="L12" s="3" t="s">
        <v>76</v>
      </c>
      <c r="M12" s="6"/>
      <c r="N12" s="3"/>
      <c r="O12" s="3" t="s">
        <v>105</v>
      </c>
      <c r="P12" s="3" t="s">
        <v>143</v>
      </c>
      <c r="Q12" s="3" t="s">
        <v>168</v>
      </c>
      <c r="R12" s="3" t="s">
        <v>169</v>
      </c>
      <c r="S12" s="3">
        <v>2</v>
      </c>
      <c r="T12" s="3"/>
      <c r="U12" s="3"/>
      <c r="V12" s="3"/>
      <c r="W12" s="3"/>
      <c r="X12" s="3" t="s">
        <v>170</v>
      </c>
      <c r="Y12" s="3"/>
      <c r="Z12" s="3"/>
      <c r="AA12" s="3" t="s">
        <v>171</v>
      </c>
      <c r="AB12" s="3"/>
      <c r="AC12" s="3"/>
      <c r="AD12" s="3"/>
      <c r="AE12" s="3" t="s">
        <v>172</v>
      </c>
      <c r="AF12" s="8"/>
    </row>
    <row r="13" spans="1:32" ht="33.75">
      <c r="A13" s="3" t="s">
        <v>173</v>
      </c>
      <c r="B13" s="4">
        <v>46234</v>
      </c>
      <c r="C13" s="3"/>
      <c r="D13" s="3"/>
      <c r="E13" s="3" t="s">
        <v>174</v>
      </c>
      <c r="F13" s="3" t="s">
        <v>175</v>
      </c>
      <c r="G13" s="3" t="s">
        <v>176</v>
      </c>
      <c r="H13" s="3" t="s">
        <v>177</v>
      </c>
      <c r="I13" s="3" t="s">
        <v>178</v>
      </c>
      <c r="J13" s="3"/>
      <c r="K13" s="3"/>
      <c r="L13" s="3" t="s">
        <v>119</v>
      </c>
      <c r="M13" s="6">
        <v>170000</v>
      </c>
      <c r="N13" s="3">
        <v>120</v>
      </c>
      <c r="O13" s="3" t="s">
        <v>77</v>
      </c>
      <c r="P13" s="3" t="s">
        <v>143</v>
      </c>
      <c r="Q13" s="3" t="s">
        <v>45</v>
      </c>
      <c r="R13" s="3" t="s">
        <v>179</v>
      </c>
      <c r="S13" s="3">
        <v>2</v>
      </c>
      <c r="T13" s="3" t="s">
        <v>107</v>
      </c>
      <c r="U13" s="3" t="s">
        <v>48</v>
      </c>
      <c r="V13" s="3" t="s">
        <v>49</v>
      </c>
      <c r="W13" s="3">
        <v>69</v>
      </c>
      <c r="X13" s="3" t="s">
        <v>108</v>
      </c>
      <c r="Y13" s="3" t="s">
        <v>107</v>
      </c>
      <c r="Z13" s="3" t="s">
        <v>180</v>
      </c>
      <c r="AA13" s="3" t="s">
        <v>154</v>
      </c>
      <c r="AB13" s="3" t="s">
        <v>163</v>
      </c>
      <c r="AC13" s="3"/>
      <c r="AD13" s="3"/>
      <c r="AE13" s="3" t="s">
        <v>164</v>
      </c>
      <c r="AF13" s="8">
        <v>46234</v>
      </c>
    </row>
    <row r="14" spans="1:32" ht="33.75">
      <c r="A14" s="3" t="s">
        <v>181</v>
      </c>
      <c r="B14" s="4">
        <v>46234</v>
      </c>
      <c r="C14" s="3"/>
      <c r="D14" s="3"/>
      <c r="E14" s="3" t="s">
        <v>182</v>
      </c>
      <c r="F14" s="3" t="s">
        <v>183</v>
      </c>
      <c r="G14" s="3" t="s">
        <v>138</v>
      </c>
      <c r="H14" s="3" t="s">
        <v>89</v>
      </c>
      <c r="I14" s="3" t="s">
        <v>90</v>
      </c>
      <c r="J14" s="3" t="s">
        <v>141</v>
      </c>
      <c r="K14" s="3"/>
      <c r="L14" s="3" t="s">
        <v>152</v>
      </c>
      <c r="M14" s="6">
        <v>25000</v>
      </c>
      <c r="N14" s="3">
        <v>20</v>
      </c>
      <c r="O14" s="3" t="s">
        <v>43</v>
      </c>
      <c r="P14" s="3" t="s">
        <v>143</v>
      </c>
      <c r="Q14" s="3" t="s">
        <v>45</v>
      </c>
      <c r="R14" s="3" t="s">
        <v>184</v>
      </c>
      <c r="S14" s="3">
        <v>1</v>
      </c>
      <c r="T14" s="3" t="s">
        <v>47</v>
      </c>
      <c r="U14" s="3" t="s">
        <v>48</v>
      </c>
      <c r="V14" s="3" t="s">
        <v>49</v>
      </c>
      <c r="W14" s="3">
        <v>56</v>
      </c>
      <c r="X14" s="3" t="s">
        <v>185</v>
      </c>
      <c r="Y14" s="3" t="s">
        <v>186</v>
      </c>
      <c r="Z14" s="3" t="s">
        <v>95</v>
      </c>
      <c r="AA14" s="3" t="s">
        <v>154</v>
      </c>
      <c r="AB14" s="3" t="s">
        <v>10</v>
      </c>
      <c r="AC14" s="3"/>
      <c r="AD14" s="3"/>
      <c r="AE14" s="3" t="s">
        <v>164</v>
      </c>
      <c r="AF14" s="8">
        <v>46234</v>
      </c>
    </row>
    <row r="15" spans="1:32" ht="33.75">
      <c r="A15" s="3" t="s">
        <v>187</v>
      </c>
      <c r="B15" s="4">
        <v>46234</v>
      </c>
      <c r="C15" s="3"/>
      <c r="D15" s="3"/>
      <c r="E15" s="3" t="s">
        <v>188</v>
      </c>
      <c r="F15" s="3" t="s">
        <v>189</v>
      </c>
      <c r="G15" s="3" t="s">
        <v>190</v>
      </c>
      <c r="H15" s="3" t="s">
        <v>191</v>
      </c>
      <c r="I15" s="3" t="s">
        <v>192</v>
      </c>
      <c r="J15" s="3"/>
      <c r="K15" s="3"/>
      <c r="L15" s="3" t="s">
        <v>92</v>
      </c>
      <c r="M15" s="6">
        <v>150000</v>
      </c>
      <c r="N15" s="3">
        <v>90</v>
      </c>
      <c r="O15" s="3" t="s">
        <v>43</v>
      </c>
      <c r="P15" s="3" t="s">
        <v>143</v>
      </c>
      <c r="Q15" s="3" t="s">
        <v>45</v>
      </c>
      <c r="R15" s="3" t="s">
        <v>193</v>
      </c>
      <c r="S15" s="3">
        <v>2</v>
      </c>
      <c r="T15" s="3" t="s">
        <v>47</v>
      </c>
      <c r="U15" s="3" t="s">
        <v>48</v>
      </c>
      <c r="V15" s="3" t="s">
        <v>194</v>
      </c>
      <c r="W15" s="3">
        <v>73</v>
      </c>
      <c r="X15" s="3" t="s">
        <v>195</v>
      </c>
      <c r="Y15" s="3" t="s">
        <v>47</v>
      </c>
      <c r="Z15" s="3" t="s">
        <v>196</v>
      </c>
      <c r="AA15" s="3" t="s">
        <v>154</v>
      </c>
      <c r="AB15" s="3" t="s">
        <v>163</v>
      </c>
      <c r="AC15" s="3" t="s">
        <v>194</v>
      </c>
      <c r="AD15" s="3"/>
      <c r="AE15" s="3" t="s">
        <v>164</v>
      </c>
      <c r="AF15" s="8">
        <v>46234</v>
      </c>
    </row>
    <row r="16" spans="1:32" ht="50.25">
      <c r="A16" s="3" t="s">
        <v>197</v>
      </c>
      <c r="B16" s="4">
        <v>46234</v>
      </c>
      <c r="C16" s="3"/>
      <c r="D16" s="3"/>
      <c r="E16" s="3" t="s">
        <v>198</v>
      </c>
      <c r="F16" s="3" t="s">
        <v>199</v>
      </c>
      <c r="G16" s="3"/>
      <c r="H16" s="3" t="s">
        <v>38</v>
      </c>
      <c r="I16" s="3" t="s">
        <v>39</v>
      </c>
      <c r="J16" s="3"/>
      <c r="K16" s="3"/>
      <c r="L16" s="3" t="s">
        <v>42</v>
      </c>
      <c r="M16" s="6"/>
      <c r="N16" s="3"/>
      <c r="O16" s="3" t="s">
        <v>198</v>
      </c>
      <c r="P16" s="3" t="s">
        <v>143</v>
      </c>
      <c r="Q16" s="3" t="s">
        <v>45</v>
      </c>
      <c r="R16" s="3" t="s">
        <v>200</v>
      </c>
      <c r="S16" s="3">
        <v>5</v>
      </c>
      <c r="T16" s="3" t="s">
        <v>186</v>
      </c>
      <c r="U16" s="3" t="s">
        <v>48</v>
      </c>
      <c r="V16" s="3" t="s">
        <v>49</v>
      </c>
      <c r="W16" s="3">
        <v>38</v>
      </c>
      <c r="X16" s="3" t="s">
        <v>201</v>
      </c>
      <c r="Y16" s="3" t="s">
        <v>186</v>
      </c>
      <c r="Z16" s="3" t="s">
        <v>51</v>
      </c>
      <c r="AA16" s="3" t="s">
        <v>154</v>
      </c>
      <c r="AB16" s="3" t="s">
        <v>202</v>
      </c>
      <c r="AC16" s="3"/>
      <c r="AD16" s="3"/>
      <c r="AE16" s="3" t="s">
        <v>164</v>
      </c>
      <c r="AF16" s="8">
        <v>46234</v>
      </c>
    </row>
    <row r="17" ht="14.25"/>
    <row r="18" ht="14.25"/>
    <row r="19" ht="14.25"/>
    <row r="20" ht="14.25"/>
    <row r="21" ht="14.25"/>
    <row r="22" ht="14.25"/>
    <row r="23" ht="14.25"/>
  </sheetData>
  <conditionalFormatting sqref="W2:W1007">
    <cfRule type="colorScale" priority="2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zoomScaleNormal="100" zoomScaleSheetLayoutView="100" workbookViewId="0">
      <selection activeCell="D29" sqref="D29"/>
    </sheetView>
  </sheetViews>
  <sheetFormatPr defaultRowHeight="15"/>
  <cols>
    <col min="1" max="1" width="11.25" customWidth="1"/>
    <col min="2" max="2" width="28" customWidth="1"/>
    <col min="3" max="3" width="7.75" customWidth="1"/>
    <col min="4" max="4" width="48" customWidth="1"/>
  </cols>
  <sheetData>
    <row r="1" spans="1:4">
      <c r="A1" s="2" t="s">
        <v>203</v>
      </c>
      <c r="B1" s="2" t="s">
        <v>204</v>
      </c>
      <c r="C1" s="2" t="s">
        <v>205</v>
      </c>
      <c r="D1" s="2" t="s">
        <v>206</v>
      </c>
    </row>
    <row r="2" spans="1:4">
      <c r="A2" s="3" t="s">
        <v>207</v>
      </c>
      <c r="B2" s="3" t="s">
        <v>48</v>
      </c>
      <c r="C2" s="3">
        <v>20</v>
      </c>
      <c r="D2" s="3" t="s">
        <v>208</v>
      </c>
    </row>
    <row r="3" spans="1:4">
      <c r="A3" s="3" t="s">
        <v>207</v>
      </c>
      <c r="B3" s="3" t="s">
        <v>80</v>
      </c>
      <c r="C3" s="3">
        <v>12</v>
      </c>
      <c r="D3" s="3" t="s">
        <v>209</v>
      </c>
    </row>
    <row r="4" spans="1:4">
      <c r="A4" s="3" t="s">
        <v>207</v>
      </c>
      <c r="B4" s="3" t="s">
        <v>210</v>
      </c>
      <c r="C4" s="3">
        <v>5</v>
      </c>
      <c r="D4" s="3" t="s">
        <v>211</v>
      </c>
    </row>
    <row r="5" spans="1:4">
      <c r="A5" s="3" t="s">
        <v>207</v>
      </c>
      <c r="B5" s="3" t="s">
        <v>212</v>
      </c>
      <c r="C5" s="3">
        <v>-20</v>
      </c>
      <c r="D5" s="3" t="s">
        <v>213</v>
      </c>
    </row>
    <row r="6" spans="1:4">
      <c r="A6" s="3" t="s">
        <v>214</v>
      </c>
      <c r="B6" s="3" t="s">
        <v>215</v>
      </c>
      <c r="C6" s="3">
        <v>20</v>
      </c>
      <c r="D6" s="3" t="s">
        <v>216</v>
      </c>
    </row>
    <row r="7" spans="1:4">
      <c r="A7" s="3" t="s">
        <v>214</v>
      </c>
      <c r="B7" s="3" t="s">
        <v>217</v>
      </c>
      <c r="C7" s="3">
        <v>15</v>
      </c>
      <c r="D7" s="3" t="s">
        <v>218</v>
      </c>
    </row>
    <row r="8" spans="1:4">
      <c r="A8" s="3" t="s">
        <v>214</v>
      </c>
      <c r="B8" s="3" t="s">
        <v>219</v>
      </c>
      <c r="C8" s="3">
        <v>10</v>
      </c>
      <c r="D8" s="3" t="s">
        <v>220</v>
      </c>
    </row>
    <row r="9" spans="1:4">
      <c r="A9" s="3" t="s">
        <v>214</v>
      </c>
      <c r="B9" s="3" t="s">
        <v>221</v>
      </c>
      <c r="C9" s="3">
        <v>4</v>
      </c>
      <c r="D9" s="3" t="s">
        <v>222</v>
      </c>
    </row>
    <row r="10" spans="1:4">
      <c r="A10" s="3" t="s">
        <v>214</v>
      </c>
      <c r="B10" s="3" t="s">
        <v>198</v>
      </c>
      <c r="C10" s="3">
        <v>0</v>
      </c>
      <c r="D10" s="3" t="s">
        <v>223</v>
      </c>
    </row>
    <row r="11" spans="1:4">
      <c r="A11" s="3" t="s">
        <v>224</v>
      </c>
      <c r="B11" s="3" t="s">
        <v>225</v>
      </c>
      <c r="C11" s="3">
        <v>15</v>
      </c>
      <c r="D11" s="3" t="s">
        <v>226</v>
      </c>
    </row>
    <row r="12" spans="1:4">
      <c r="A12" s="3" t="s">
        <v>224</v>
      </c>
      <c r="B12" s="3" t="s">
        <v>227</v>
      </c>
      <c r="C12" s="3">
        <v>10</v>
      </c>
      <c r="D12" s="3" t="s">
        <v>228</v>
      </c>
    </row>
    <row r="13" spans="1:4">
      <c r="A13" s="3" t="s">
        <v>224</v>
      </c>
      <c r="B13" s="3" t="s">
        <v>229</v>
      </c>
      <c r="C13" s="3">
        <v>5</v>
      </c>
      <c r="D13" s="3" t="s">
        <v>230</v>
      </c>
    </row>
    <row r="14" spans="1:4">
      <c r="A14" s="3" t="s">
        <v>224</v>
      </c>
      <c r="B14" s="3" t="s">
        <v>231</v>
      </c>
      <c r="C14" s="3">
        <v>0</v>
      </c>
      <c r="D14" s="3" t="s">
        <v>232</v>
      </c>
    </row>
    <row r="15" spans="1:4">
      <c r="A15" s="3" t="s">
        <v>233</v>
      </c>
      <c r="B15" s="3" t="s">
        <v>43</v>
      </c>
      <c r="C15" s="3">
        <v>15</v>
      </c>
      <c r="D15" s="3" t="s">
        <v>234</v>
      </c>
    </row>
    <row r="16" spans="1:4">
      <c r="A16" s="3" t="s">
        <v>233</v>
      </c>
      <c r="B16" s="3" t="s">
        <v>77</v>
      </c>
      <c r="C16" s="3">
        <v>8</v>
      </c>
      <c r="D16" s="3" t="s">
        <v>235</v>
      </c>
    </row>
    <row r="17" spans="1:4">
      <c r="A17" s="3" t="s">
        <v>233</v>
      </c>
      <c r="B17" s="3" t="s">
        <v>105</v>
      </c>
      <c r="C17" s="3">
        <v>3</v>
      </c>
      <c r="D17" s="3" t="s">
        <v>236</v>
      </c>
    </row>
    <row r="18" spans="1:4">
      <c r="A18" s="3" t="s">
        <v>233</v>
      </c>
      <c r="B18" s="3" t="s">
        <v>198</v>
      </c>
      <c r="C18" s="3">
        <v>0</v>
      </c>
      <c r="D18" s="3" t="s">
        <v>237</v>
      </c>
    </row>
    <row r="19" spans="1:4">
      <c r="A19" s="3" t="s">
        <v>155</v>
      </c>
      <c r="B19" s="3" t="s">
        <v>40</v>
      </c>
      <c r="C19" s="3">
        <v>10</v>
      </c>
      <c r="D19" s="3" t="s">
        <v>238</v>
      </c>
    </row>
    <row r="20" spans="1:4">
      <c r="A20" s="3" t="s">
        <v>155</v>
      </c>
      <c r="B20" s="3" t="s">
        <v>74</v>
      </c>
      <c r="C20" s="3">
        <v>7</v>
      </c>
      <c r="D20" s="3" t="s">
        <v>239</v>
      </c>
    </row>
    <row r="21" spans="1:4">
      <c r="A21" s="3" t="s">
        <v>155</v>
      </c>
      <c r="B21" s="3" t="s">
        <v>240</v>
      </c>
      <c r="C21" s="3">
        <v>4</v>
      </c>
      <c r="D21" s="3" t="s">
        <v>241</v>
      </c>
    </row>
    <row r="22" spans="1:4">
      <c r="A22" s="3" t="s">
        <v>155</v>
      </c>
      <c r="B22" s="3" t="s">
        <v>141</v>
      </c>
      <c r="C22" s="3">
        <v>2</v>
      </c>
      <c r="D22" s="3" t="s">
        <v>242</v>
      </c>
    </row>
    <row r="23" spans="1:4">
      <c r="A23" s="3" t="s">
        <v>8</v>
      </c>
      <c r="B23" s="3" t="s">
        <v>49</v>
      </c>
      <c r="C23" s="3">
        <v>10</v>
      </c>
      <c r="D23" s="3" t="s">
        <v>243</v>
      </c>
    </row>
    <row r="24" spans="1:4">
      <c r="A24" s="3" t="s">
        <v>8</v>
      </c>
      <c r="B24" s="3" t="s">
        <v>244</v>
      </c>
      <c r="C24" s="3">
        <v>5</v>
      </c>
      <c r="D24" s="3" t="s">
        <v>245</v>
      </c>
    </row>
    <row r="25" spans="1:4">
      <c r="A25" s="3" t="s">
        <v>246</v>
      </c>
      <c r="B25" s="3" t="s">
        <v>247</v>
      </c>
      <c r="C25" s="3">
        <v>5</v>
      </c>
      <c r="D25" s="3" t="s">
        <v>248</v>
      </c>
    </row>
    <row r="26" spans="1:4">
      <c r="A26" s="3" t="s">
        <v>246</v>
      </c>
      <c r="B26" s="3" t="s">
        <v>249</v>
      </c>
      <c r="C26" s="3">
        <v>4</v>
      </c>
      <c r="D26" s="3" t="s">
        <v>250</v>
      </c>
    </row>
    <row r="27" spans="1:4">
      <c r="A27" s="3" t="s">
        <v>246</v>
      </c>
      <c r="B27" s="3" t="s">
        <v>251</v>
      </c>
      <c r="C27" s="3">
        <v>3</v>
      </c>
      <c r="D27" s="3" t="s">
        <v>252</v>
      </c>
    </row>
    <row r="28" spans="1:4">
      <c r="A28" s="3" t="s">
        <v>246</v>
      </c>
      <c r="B28" s="3" t="s">
        <v>253</v>
      </c>
      <c r="C28" s="3">
        <v>1</v>
      </c>
      <c r="D28" s="3" t="s">
        <v>254</v>
      </c>
    </row>
    <row r="29" spans="1:4">
      <c r="A29" s="3" t="s">
        <v>255</v>
      </c>
      <c r="B29" s="3" t="s">
        <v>256</v>
      </c>
      <c r="C29" s="3">
        <v>5</v>
      </c>
      <c r="D29" s="3" t="s">
        <v>257</v>
      </c>
    </row>
    <row r="30" spans="1:4">
      <c r="A30" s="3" t="s">
        <v>255</v>
      </c>
      <c r="B30" s="3" t="s">
        <v>258</v>
      </c>
      <c r="C30" s="3">
        <v>3</v>
      </c>
      <c r="D30" s="3" t="s">
        <v>259</v>
      </c>
    </row>
    <row r="31" spans="1:4">
      <c r="A31" s="3" t="s">
        <v>255</v>
      </c>
      <c r="B31" s="3" t="s">
        <v>260</v>
      </c>
      <c r="C31" s="3">
        <v>0</v>
      </c>
      <c r="D31" s="3" t="s">
        <v>261</v>
      </c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zoomScaleSheetLayoutView="100" workbookViewId="0"/>
  </sheetViews>
  <sheetFormatPr defaultRowHeight="15"/>
  <cols>
    <col min="1" max="1" width="16.375" customWidth="1"/>
    <col min="2" max="2" width="12.5" customWidth="1"/>
    <col min="3" max="3" width="14.75" customWidth="1"/>
    <col min="4" max="4" width="32" customWidth="1"/>
    <col min="5" max="5" width="16.25" customWidth="1"/>
    <col min="6" max="6" width="11.5" customWidth="1"/>
    <col min="7" max="7" width="29.875" customWidth="1"/>
  </cols>
  <sheetData>
    <row r="1" spans="1:7">
      <c r="A1" s="1" t="s">
        <v>7</v>
      </c>
      <c r="B1" s="1" t="s">
        <v>8</v>
      </c>
      <c r="C1" s="1" t="s">
        <v>262</v>
      </c>
      <c r="D1" s="1" t="s">
        <v>263</v>
      </c>
      <c r="E1" s="1" t="s">
        <v>21</v>
      </c>
      <c r="F1" s="1" t="s">
        <v>264</v>
      </c>
      <c r="G1" s="1" t="s">
        <v>265</v>
      </c>
    </row>
    <row r="2" spans="1:7">
      <c r="A2" t="s">
        <v>38</v>
      </c>
      <c r="B2" t="s">
        <v>39</v>
      </c>
      <c r="C2" t="s">
        <v>51</v>
      </c>
      <c r="D2" t="s">
        <v>266</v>
      </c>
      <c r="E2" t="s">
        <v>49</v>
      </c>
      <c r="F2" t="s">
        <v>267</v>
      </c>
      <c r="G2">
        <v>1</v>
      </c>
    </row>
    <row r="3" spans="1:7">
      <c r="A3" t="s">
        <v>268</v>
      </c>
      <c r="B3" t="s">
        <v>140</v>
      </c>
      <c r="C3" t="s">
        <v>145</v>
      </c>
      <c r="D3" t="s">
        <v>269</v>
      </c>
      <c r="E3" t="s">
        <v>49</v>
      </c>
      <c r="F3" t="s">
        <v>270</v>
      </c>
      <c r="G3">
        <v>1</v>
      </c>
    </row>
    <row r="4" spans="1:7">
      <c r="A4" t="s">
        <v>139</v>
      </c>
      <c r="B4" t="s">
        <v>140</v>
      </c>
      <c r="C4" t="s">
        <v>145</v>
      </c>
      <c r="D4" t="s">
        <v>269</v>
      </c>
      <c r="E4" t="s">
        <v>49</v>
      </c>
      <c r="F4" t="s">
        <v>270</v>
      </c>
      <c r="G4">
        <v>1</v>
      </c>
    </row>
    <row r="5" spans="1:7">
      <c r="A5" t="s">
        <v>60</v>
      </c>
      <c r="B5" t="s">
        <v>61</v>
      </c>
      <c r="C5" t="s">
        <v>66</v>
      </c>
      <c r="D5" t="s">
        <v>271</v>
      </c>
      <c r="E5" t="s">
        <v>49</v>
      </c>
      <c r="F5" t="s">
        <v>272</v>
      </c>
      <c r="G5">
        <v>1</v>
      </c>
    </row>
    <row r="6" spans="1:7">
      <c r="A6" t="s">
        <v>273</v>
      </c>
      <c r="B6" t="s">
        <v>61</v>
      </c>
      <c r="C6" t="s">
        <v>66</v>
      </c>
      <c r="D6" t="s">
        <v>271</v>
      </c>
      <c r="E6" t="s">
        <v>49</v>
      </c>
      <c r="F6" t="s">
        <v>274</v>
      </c>
      <c r="G6">
        <v>1</v>
      </c>
    </row>
    <row r="7" spans="1:7">
      <c r="A7" t="s">
        <v>177</v>
      </c>
      <c r="B7" t="s">
        <v>178</v>
      </c>
      <c r="C7" t="s">
        <v>180</v>
      </c>
      <c r="D7" t="s">
        <v>275</v>
      </c>
      <c r="E7" t="s">
        <v>49</v>
      </c>
      <c r="F7" t="s">
        <v>276</v>
      </c>
      <c r="G7">
        <v>1</v>
      </c>
    </row>
    <row r="8" spans="1:7">
      <c r="A8" t="s">
        <v>89</v>
      </c>
      <c r="B8" t="s">
        <v>90</v>
      </c>
      <c r="C8" t="s">
        <v>95</v>
      </c>
      <c r="D8" t="s">
        <v>277</v>
      </c>
      <c r="E8" t="s">
        <v>49</v>
      </c>
      <c r="F8" t="s">
        <v>278</v>
      </c>
      <c r="G8">
        <v>1</v>
      </c>
    </row>
    <row r="9" spans="1:7">
      <c r="A9" t="s">
        <v>102</v>
      </c>
      <c r="B9" t="s">
        <v>103</v>
      </c>
      <c r="C9" t="s">
        <v>109</v>
      </c>
      <c r="D9" t="s">
        <v>279</v>
      </c>
      <c r="E9" t="s">
        <v>49</v>
      </c>
      <c r="F9" t="s">
        <v>280</v>
      </c>
      <c r="G9">
        <v>1</v>
      </c>
    </row>
    <row r="10" spans="1:7">
      <c r="A10" t="s">
        <v>116</v>
      </c>
      <c r="B10" t="s">
        <v>117</v>
      </c>
      <c r="C10" t="s">
        <v>121</v>
      </c>
      <c r="D10" t="s">
        <v>281</v>
      </c>
      <c r="E10" t="s">
        <v>49</v>
      </c>
      <c r="F10" t="s">
        <v>282</v>
      </c>
      <c r="G10">
        <v>1</v>
      </c>
    </row>
    <row r="11" spans="1:7">
      <c r="A11" t="s">
        <v>283</v>
      </c>
      <c r="B11" t="s">
        <v>117</v>
      </c>
      <c r="C11" t="s">
        <v>121</v>
      </c>
      <c r="D11" t="s">
        <v>281</v>
      </c>
      <c r="E11" t="s">
        <v>49</v>
      </c>
      <c r="F11" t="s">
        <v>282</v>
      </c>
      <c r="G11">
        <v>1</v>
      </c>
    </row>
    <row r="12" spans="1:7">
      <c r="A12" t="s">
        <v>128</v>
      </c>
      <c r="B12" t="s">
        <v>129</v>
      </c>
      <c r="C12" t="s">
        <v>132</v>
      </c>
      <c r="D12" t="s">
        <v>284</v>
      </c>
      <c r="E12" t="s">
        <v>49</v>
      </c>
      <c r="F12" t="s">
        <v>285</v>
      </c>
      <c r="G12">
        <v>1</v>
      </c>
    </row>
    <row r="13" spans="1:7">
      <c r="A13" t="s">
        <v>286</v>
      </c>
      <c r="B13" t="s">
        <v>192</v>
      </c>
      <c r="C13" t="s">
        <v>196</v>
      </c>
      <c r="D13" t="s">
        <v>287</v>
      </c>
      <c r="E13" t="s">
        <v>244</v>
      </c>
      <c r="F13" t="s">
        <v>288</v>
      </c>
      <c r="G1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zoomScaleNormal="100" zoomScaleSheetLayoutView="100" workbookViewId="0"/>
  </sheetViews>
  <sheetFormatPr defaultRowHeight="15"/>
  <cols>
    <col min="1" max="1" width="11.625" customWidth="1"/>
    <col min="2" max="2" width="34" customWidth="1"/>
    <col min="3" max="3" width="12.5" customWidth="1"/>
    <col min="4" max="4" width="21" customWidth="1"/>
    <col min="5" max="5" width="21.125" customWidth="1"/>
    <col min="6" max="9" width="30" customWidth="1"/>
  </cols>
  <sheetData>
    <row r="1" spans="1:9">
      <c r="A1" s="2" t="s">
        <v>289</v>
      </c>
      <c r="B1" s="2" t="s">
        <v>290</v>
      </c>
      <c r="C1" s="2" t="s">
        <v>291</v>
      </c>
      <c r="D1" s="2" t="s">
        <v>292</v>
      </c>
      <c r="E1" s="2" t="s">
        <v>293</v>
      </c>
      <c r="F1" s="2" t="s">
        <v>294</v>
      </c>
      <c r="G1" s="2" t="s">
        <v>295</v>
      </c>
      <c r="H1" s="2" t="s">
        <v>20</v>
      </c>
      <c r="I1" s="2" t="s">
        <v>296</v>
      </c>
    </row>
    <row r="2" spans="1:9">
      <c r="A2" s="3" t="s">
        <v>297</v>
      </c>
      <c r="B2" s="3" t="s">
        <v>76</v>
      </c>
      <c r="C2" s="3" t="s">
        <v>298</v>
      </c>
      <c r="D2" s="6">
        <v>15000</v>
      </c>
      <c r="E2" s="6">
        <v>50000</v>
      </c>
      <c r="F2" s="3" t="s">
        <v>299</v>
      </c>
      <c r="G2" s="3" t="s">
        <v>300</v>
      </c>
      <c r="H2" s="3" t="s">
        <v>80</v>
      </c>
      <c r="I2" s="3" t="s">
        <v>301</v>
      </c>
    </row>
    <row r="3" spans="1:9">
      <c r="A3" s="3" t="s">
        <v>302</v>
      </c>
      <c r="B3" s="3" t="s">
        <v>42</v>
      </c>
      <c r="C3" s="3" t="s">
        <v>303</v>
      </c>
      <c r="D3" s="6">
        <v>60000</v>
      </c>
      <c r="E3" s="6">
        <v>180000</v>
      </c>
      <c r="F3" s="3" t="s">
        <v>304</v>
      </c>
      <c r="G3" s="3" t="s">
        <v>305</v>
      </c>
      <c r="H3" s="3" t="s">
        <v>48</v>
      </c>
      <c r="I3" s="3" t="s">
        <v>306</v>
      </c>
    </row>
    <row r="4" spans="1:9">
      <c r="A4" s="3" t="s">
        <v>307</v>
      </c>
      <c r="B4" s="3" t="s">
        <v>63</v>
      </c>
      <c r="C4" s="3" t="s">
        <v>303</v>
      </c>
      <c r="D4" s="6">
        <v>90000</v>
      </c>
      <c r="E4" s="6">
        <v>250000</v>
      </c>
      <c r="F4" s="3" t="s">
        <v>304</v>
      </c>
      <c r="G4" s="3" t="s">
        <v>308</v>
      </c>
      <c r="H4" s="3" t="s">
        <v>48</v>
      </c>
      <c r="I4" s="3" t="s">
        <v>309</v>
      </c>
    </row>
    <row r="5" spans="1:9">
      <c r="A5" s="3" t="s">
        <v>310</v>
      </c>
      <c r="B5" s="3" t="s">
        <v>119</v>
      </c>
      <c r="C5" s="3" t="s">
        <v>303</v>
      </c>
      <c r="D5" s="6">
        <v>140000</v>
      </c>
      <c r="E5" s="6">
        <v>400000</v>
      </c>
      <c r="F5" s="3" t="s">
        <v>40</v>
      </c>
      <c r="G5" s="3" t="s">
        <v>311</v>
      </c>
      <c r="H5" s="3" t="s">
        <v>48</v>
      </c>
      <c r="I5" s="3" t="s">
        <v>312</v>
      </c>
    </row>
    <row r="6" spans="1:9">
      <c r="A6" s="3" t="s">
        <v>313</v>
      </c>
      <c r="B6" s="3" t="s">
        <v>92</v>
      </c>
      <c r="C6" s="3" t="s">
        <v>314</v>
      </c>
      <c r="D6" s="6">
        <v>75000</v>
      </c>
      <c r="E6" s="6">
        <v>200000</v>
      </c>
      <c r="F6" s="3" t="s">
        <v>304</v>
      </c>
      <c r="G6" s="3" t="s">
        <v>315</v>
      </c>
      <c r="H6" s="3" t="s">
        <v>48</v>
      </c>
      <c r="I6" s="3" t="s">
        <v>316</v>
      </c>
    </row>
    <row r="7" spans="1:9">
      <c r="A7" s="3" t="s">
        <v>317</v>
      </c>
      <c r="B7" s="3" t="s">
        <v>152</v>
      </c>
      <c r="C7" s="3" t="s">
        <v>318</v>
      </c>
      <c r="D7" s="6">
        <v>250000</v>
      </c>
      <c r="E7" s="6">
        <v>1000000</v>
      </c>
      <c r="F7" s="3" t="s">
        <v>40</v>
      </c>
      <c r="G7" s="3" t="s">
        <v>300</v>
      </c>
      <c r="H7" s="3" t="s">
        <v>48</v>
      </c>
      <c r="I7" s="3" t="s">
        <v>319</v>
      </c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zoomScaleSheetLayoutView="100" workbookViewId="0"/>
  </sheetViews>
  <sheetFormatPr defaultRowHeight="15"/>
  <cols>
    <col min="1" max="1" width="13.625" customWidth="1"/>
    <col min="2" max="2" width="12.5" customWidth="1"/>
    <col min="3" max="3" width="22.125" customWidth="1"/>
    <col min="4" max="4" width="34" customWidth="1"/>
    <col min="5" max="5" width="24.75" customWidth="1"/>
    <col min="6" max="6" width="7.75" customWidth="1"/>
  </cols>
  <sheetData>
    <row r="1" spans="1:6">
      <c r="A1" s="1" t="s">
        <v>320</v>
      </c>
      <c r="B1" s="1" t="s">
        <v>8</v>
      </c>
      <c r="C1" s="1" t="s">
        <v>321</v>
      </c>
      <c r="D1" s="1" t="s">
        <v>322</v>
      </c>
      <c r="E1" s="1" t="s">
        <v>323</v>
      </c>
      <c r="F1" s="1" t="s">
        <v>324</v>
      </c>
    </row>
    <row r="2" spans="1:6">
      <c r="A2" t="s">
        <v>51</v>
      </c>
      <c r="B2" t="s">
        <v>39</v>
      </c>
      <c r="C2" t="s">
        <v>325</v>
      </c>
      <c r="D2" t="s">
        <v>266</v>
      </c>
      <c r="E2">
        <v>6</v>
      </c>
      <c r="F2" t="s">
        <v>326</v>
      </c>
    </row>
    <row r="3" spans="1:6">
      <c r="A3" t="s">
        <v>145</v>
      </c>
      <c r="B3" t="s">
        <v>140</v>
      </c>
      <c r="C3" t="s">
        <v>325</v>
      </c>
      <c r="D3" t="s">
        <v>269</v>
      </c>
      <c r="E3">
        <v>8</v>
      </c>
      <c r="F3" t="s">
        <v>326</v>
      </c>
    </row>
    <row r="4" spans="1:6">
      <c r="A4" t="s">
        <v>66</v>
      </c>
      <c r="B4" t="s">
        <v>61</v>
      </c>
      <c r="C4" t="s">
        <v>325</v>
      </c>
      <c r="D4" t="s">
        <v>271</v>
      </c>
      <c r="E4">
        <v>5</v>
      </c>
      <c r="F4" t="s">
        <v>326</v>
      </c>
    </row>
    <row r="5" spans="1:6">
      <c r="A5" t="s">
        <v>180</v>
      </c>
      <c r="B5" t="s">
        <v>178</v>
      </c>
      <c r="C5" t="s">
        <v>325</v>
      </c>
      <c r="D5" t="s">
        <v>275</v>
      </c>
      <c r="E5">
        <v>4</v>
      </c>
      <c r="F5" t="s">
        <v>326</v>
      </c>
    </row>
    <row r="6" spans="1:6">
      <c r="A6" t="s">
        <v>95</v>
      </c>
      <c r="B6" t="s">
        <v>90</v>
      </c>
      <c r="C6" t="s">
        <v>325</v>
      </c>
      <c r="D6" t="s">
        <v>277</v>
      </c>
      <c r="E6">
        <v>4</v>
      </c>
      <c r="F6" t="s">
        <v>326</v>
      </c>
    </row>
    <row r="7" spans="1:6">
      <c r="A7" t="s">
        <v>109</v>
      </c>
      <c r="B7" t="s">
        <v>103</v>
      </c>
      <c r="C7" t="s">
        <v>325</v>
      </c>
      <c r="D7" t="s">
        <v>279</v>
      </c>
      <c r="E7">
        <v>5</v>
      </c>
      <c r="F7" t="s">
        <v>326</v>
      </c>
    </row>
    <row r="8" spans="1:6">
      <c r="A8" t="s">
        <v>121</v>
      </c>
      <c r="B8" t="s">
        <v>117</v>
      </c>
      <c r="C8" t="s">
        <v>325</v>
      </c>
      <c r="D8" t="s">
        <v>281</v>
      </c>
      <c r="E8">
        <v>7</v>
      </c>
      <c r="F8" t="s">
        <v>326</v>
      </c>
    </row>
    <row r="9" spans="1:6">
      <c r="A9" t="s">
        <v>132</v>
      </c>
      <c r="B9" t="s">
        <v>129</v>
      </c>
      <c r="C9" t="s">
        <v>325</v>
      </c>
      <c r="D9" t="s">
        <v>284</v>
      </c>
      <c r="E9">
        <v>3</v>
      </c>
      <c r="F9" t="s">
        <v>326</v>
      </c>
    </row>
    <row r="10" spans="1:6">
      <c r="A10" t="s">
        <v>196</v>
      </c>
      <c r="B10" t="s">
        <v>192</v>
      </c>
      <c r="C10" t="s">
        <v>327</v>
      </c>
      <c r="D10" t="s">
        <v>287</v>
      </c>
      <c r="E10">
        <v>99</v>
      </c>
      <c r="F10" t="s">
        <v>326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zoomScaleNormal="100" zoomScaleSheetLayoutView="100" workbookViewId="0"/>
  </sheetViews>
  <sheetFormatPr defaultRowHeight="15"/>
  <cols>
    <col min="1" max="1" width="24.5" customWidth="1"/>
    <col min="2" max="2" width="15.625" customWidth="1"/>
    <col min="3" max="3" width="15.875" customWidth="1"/>
    <col min="4" max="4" width="68" customWidth="1"/>
    <col min="5" max="5" width="26.75" customWidth="1"/>
  </cols>
  <sheetData>
    <row r="1" spans="1:5">
      <c r="A1" s="2" t="s">
        <v>23</v>
      </c>
      <c r="B1" s="2" t="s">
        <v>328</v>
      </c>
      <c r="C1" s="2" t="s">
        <v>329</v>
      </c>
      <c r="D1" s="2" t="s">
        <v>330</v>
      </c>
      <c r="E1" s="2" t="s">
        <v>331</v>
      </c>
    </row>
    <row r="2" spans="1:5">
      <c r="A2" s="3" t="s">
        <v>50</v>
      </c>
      <c r="B2" s="3">
        <v>85</v>
      </c>
      <c r="C2" s="3">
        <v>100</v>
      </c>
      <c r="D2" s="3" t="s">
        <v>332</v>
      </c>
      <c r="E2" s="3" t="s">
        <v>47</v>
      </c>
    </row>
    <row r="3" spans="1:5">
      <c r="A3" s="3" t="s">
        <v>81</v>
      </c>
      <c r="B3" s="3">
        <v>70</v>
      </c>
      <c r="C3" s="3">
        <v>84</v>
      </c>
      <c r="D3" s="3" t="s">
        <v>333</v>
      </c>
      <c r="E3" s="3" t="s">
        <v>334</v>
      </c>
    </row>
    <row r="4" spans="1:5">
      <c r="A4" s="3" t="s">
        <v>108</v>
      </c>
      <c r="B4" s="3">
        <v>50</v>
      </c>
      <c r="C4" s="3">
        <v>69</v>
      </c>
      <c r="D4" s="3" t="s">
        <v>335</v>
      </c>
      <c r="E4" s="3" t="s">
        <v>107</v>
      </c>
    </row>
    <row r="5" spans="1:5">
      <c r="A5" s="3" t="s">
        <v>185</v>
      </c>
      <c r="B5" s="3">
        <v>0</v>
      </c>
      <c r="C5" s="3">
        <v>49</v>
      </c>
      <c r="D5" s="3" t="s">
        <v>336</v>
      </c>
      <c r="E5" s="3" t="s">
        <v>334</v>
      </c>
    </row>
    <row r="6" spans="1:5">
      <c r="A6" s="3" t="s">
        <v>201</v>
      </c>
      <c r="B6" s="3"/>
      <c r="C6" s="3"/>
      <c r="D6" s="3" t="s">
        <v>337</v>
      </c>
      <c r="E6" s="3" t="s">
        <v>338</v>
      </c>
    </row>
    <row r="7" spans="1:5">
      <c r="A7" s="3" t="s">
        <v>195</v>
      </c>
      <c r="B7" s="3"/>
      <c r="C7" s="3"/>
      <c r="D7" s="3" t="s">
        <v>339</v>
      </c>
      <c r="E7" s="3" t="s">
        <v>340</v>
      </c>
    </row>
    <row r="8" spans="1:5">
      <c r="A8" s="3" t="s">
        <v>52</v>
      </c>
      <c r="B8" s="3"/>
      <c r="C8" s="3"/>
      <c r="D8" s="3" t="s">
        <v>341</v>
      </c>
      <c r="E8" s="3" t="s">
        <v>47</v>
      </c>
    </row>
    <row r="9" spans="1:5">
      <c r="A9" s="3" t="s">
        <v>170</v>
      </c>
      <c r="B9" s="3"/>
      <c r="C9" s="3"/>
      <c r="D9" s="3" t="s">
        <v>342</v>
      </c>
      <c r="E9" s="3" t="s">
        <v>47</v>
      </c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zoomScaleNormal="100" zoomScaleSheetLayoutView="100" workbookViewId="0"/>
  </sheetViews>
  <sheetFormatPr defaultRowHeight="15"/>
  <cols>
    <col min="1" max="1" width="30" customWidth="1"/>
    <col min="2" max="2" width="18" customWidth="1"/>
  </cols>
  <sheetData>
    <row r="1" spans="1:6">
      <c r="A1" s="9" t="s">
        <v>343</v>
      </c>
      <c r="B1" s="10"/>
      <c r="C1" s="10"/>
      <c r="D1" s="10"/>
      <c r="E1" s="10"/>
      <c r="F1" s="10"/>
    </row>
    <row r="3" spans="1:6">
      <c r="A3" s="1" t="s">
        <v>344</v>
      </c>
      <c r="B3" s="1" t="s">
        <v>345</v>
      </c>
    </row>
    <row r="4" spans="1:6">
      <c r="A4" t="s">
        <v>346</v>
      </c>
      <c r="B4">
        <f>COUNTA(Leads_Register!A2:A1007)</f>
        <v>15</v>
      </c>
    </row>
    <row r="5" spans="1:6">
      <c r="A5" t="s">
        <v>50</v>
      </c>
      <c r="B5">
        <f>COUNTIF(Leads_Register!X2:X1007,"Hot")</f>
        <v>5</v>
      </c>
    </row>
    <row r="6" spans="1:6">
      <c r="A6" t="s">
        <v>81</v>
      </c>
      <c r="B6">
        <f>COUNTIF(Leads_Register!X2:X1007,"Qualified")</f>
        <v>2</v>
      </c>
    </row>
    <row r="7" spans="1:6">
      <c r="A7" t="s">
        <v>108</v>
      </c>
      <c r="B7">
        <f>COUNTIF(Leads_Register!X2:X1007,"Nurture")</f>
        <v>4</v>
      </c>
    </row>
    <row r="8" spans="1:6">
      <c r="A8" t="s">
        <v>185</v>
      </c>
      <c r="B8">
        <f>COUNTIF(Leads_Register!X2:X1007,"Low Priority")</f>
        <v>1</v>
      </c>
    </row>
    <row r="9" spans="1:6">
      <c r="A9" t="s">
        <v>195</v>
      </c>
      <c r="B9">
        <f>COUNTIF(Leads_Register!X2:X1007,"Human Review Required")</f>
        <v>1</v>
      </c>
    </row>
    <row r="10" spans="1:6">
      <c r="A10" t="s">
        <v>347</v>
      </c>
      <c r="B10" s="7">
        <f>SUM(Leads_Register!M2:M1007)</f>
        <v>1818000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2026-07-31T07:15:45Z</dcterms:created>
  <dcterms:modified xsi:type="dcterms:W3CDTF">2026-07-31T08:09:04Z</dcterms:modified>
  <cp:category/>
  <cp:contentStatus/>
</cp:coreProperties>
</file>